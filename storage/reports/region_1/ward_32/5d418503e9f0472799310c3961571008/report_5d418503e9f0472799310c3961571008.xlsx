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9F1BC46-D12E-4958-9279-5505F1A16813}" xr6:coauthVersionLast="47" xr6:coauthVersionMax="47" xr10:uidLastSave="{00000000-0000-0000-0000-000000000000}"/>
  <bookViews>
    <workbookView xWindow="-108" yWindow="-108" windowWidth="23256" windowHeight="12456" xr2:uid="{A12B88BC-7E4B-4B51-8B38-B2CE1B620A7E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Sheet1!$A$2:$AE$34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4" i="1" l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<sst xmlns="http://schemas.openxmlformats.org/spreadsheetml/2006/main" count="276" uniqueCount="211">
  <si>
    <t>Old Detail's</t>
  </si>
  <si>
    <t>New Detail's</t>
  </si>
  <si>
    <t>Sr#</t>
  </si>
  <si>
    <t>Transformer NUMBER</t>
  </si>
  <si>
    <t>Transformer Capacity</t>
  </si>
  <si>
    <t>R R Number</t>
  </si>
  <si>
    <t>BESCOM Meter Sr#</t>
  </si>
  <si>
    <t>Meter F R (Final Reading)</t>
  </si>
  <si>
    <t>BESCOM Meter Image</t>
  </si>
  <si>
    <t>Salzer Meter Number</t>
  </si>
  <si>
    <t>Salzer Meter Reading</t>
  </si>
  <si>
    <t>CCMS Panel ID</t>
  </si>
  <si>
    <t xml:space="preserve">CCMS Image &amp; Salzer METER 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</si>
  <si>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</si>
  <si>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</si>
  <si>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</si>
  <si>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</si>
  <si>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</si>
  <si>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</si>
  <si>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</si>
  <si>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</si>
  <si>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</si>
  <si>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</si>
  <si>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</si>
  <si>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</si>
  <si>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</si>
  <si>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</si>
  <si>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SSC107SM00200</t>
  </si>
  <si>
    <t>SSC107SM00202</t>
  </si>
  <si>
    <t>SSC107SM01724</t>
  </si>
  <si>
    <t>SSC107SM01727</t>
  </si>
  <si>
    <t>SSC107SM01428</t>
  </si>
  <si>
    <t>SSC107SM01878</t>
  </si>
  <si>
    <t>SSC107SM01877</t>
  </si>
  <si>
    <t>SSC107SM01975</t>
  </si>
  <si>
    <t>SSC107SM01586</t>
  </si>
  <si>
    <t>SSC107SM01803</t>
  </si>
  <si>
    <t>SSC107SM01824</t>
  </si>
  <si>
    <t>SSC107SM01907</t>
  </si>
  <si>
    <t>SSC107SM01698</t>
  </si>
  <si>
    <t>SSC107SM01594</t>
  </si>
  <si>
    <t>SSC107SM01935</t>
  </si>
  <si>
    <t>SSC107SM02064</t>
  </si>
  <si>
    <t>SSC107SM02394</t>
  </si>
  <si>
    <t>SSC107SM01867</t>
  </si>
  <si>
    <t>SSC107SM01990</t>
  </si>
  <si>
    <t>SSC107SM01703</t>
  </si>
  <si>
    <t>SSC107SM01754</t>
  </si>
  <si>
    <t>SSC107SM02382</t>
  </si>
  <si>
    <t>SSC107SM01927</t>
  </si>
  <si>
    <t>SSC107SM01957</t>
  </si>
  <si>
    <t>SSC107SM01750</t>
  </si>
  <si>
    <t>SSC107SM01746</t>
  </si>
  <si>
    <t>SSC107SM02154</t>
  </si>
  <si>
    <t>SSC107SM01830</t>
  </si>
  <si>
    <t>SSC107SM02468</t>
  </si>
  <si>
    <t>SSC107SM01993</t>
  </si>
  <si>
    <t>SSC107SM01854</t>
  </si>
  <si>
    <t>SSC107SM01666</t>
  </si>
  <si>
    <t>-</t>
  </si>
  <si>
    <t>C4HSL49A</t>
  </si>
  <si>
    <t>C4HSL84A</t>
  </si>
  <si>
    <t>SLD73A</t>
  </si>
  <si>
    <t>SLDCC3B</t>
  </si>
  <si>
    <t>CSTP9167</t>
  </si>
  <si>
    <t>SL0188</t>
  </si>
  <si>
    <t>C412SL44</t>
  </si>
  <si>
    <t>CSTD-T204</t>
  </si>
  <si>
    <t>7A</t>
  </si>
  <si>
    <t>SLD001</t>
  </si>
  <si>
    <t>SLD009</t>
  </si>
  <si>
    <t>279-A</t>
  </si>
  <si>
    <t>SLD0036</t>
  </si>
  <si>
    <t>SLD2A</t>
  </si>
  <si>
    <t>6SL422079</t>
  </si>
  <si>
    <t>SLC5101</t>
  </si>
  <si>
    <t>SLD92</t>
  </si>
  <si>
    <t>SLCSLG45035</t>
  </si>
  <si>
    <t>SLD71A</t>
  </si>
  <si>
    <t>SLD054</t>
  </si>
  <si>
    <t>SLDC71B</t>
  </si>
  <si>
    <t>SLD72</t>
  </si>
  <si>
    <t>SLCSL-56335</t>
  </si>
  <si>
    <t>BD0023679</t>
  </si>
  <si>
    <t>BD025836</t>
  </si>
  <si>
    <t>BD0607750</t>
  </si>
  <si>
    <t>BC2312489</t>
  </si>
  <si>
    <t>BC0054130</t>
  </si>
  <si>
    <t>BD013924</t>
  </si>
  <si>
    <t>BC0128693</t>
  </si>
  <si>
    <t>BD0128698</t>
  </si>
  <si>
    <t>BD0276973</t>
  </si>
  <si>
    <t>A4822974</t>
  </si>
  <si>
    <t>BD0602450</t>
  </si>
  <si>
    <t>BC1141025</t>
  </si>
  <si>
    <t>BD013927</t>
  </si>
  <si>
    <t>BD0233575</t>
  </si>
  <si>
    <t>BD0522841</t>
  </si>
  <si>
    <t>BD0091877</t>
  </si>
  <si>
    <t>BD0213564</t>
  </si>
  <si>
    <t>BD011891</t>
  </si>
  <si>
    <t>A2614993</t>
  </si>
  <si>
    <t>BD0466756</t>
  </si>
  <si>
    <t>BD0887714</t>
  </si>
  <si>
    <t>BD016451</t>
  </si>
  <si>
    <t>BC0763793</t>
  </si>
  <si>
    <t>BD011893</t>
  </si>
  <si>
    <t>BD0088686</t>
  </si>
  <si>
    <t>BC0614001</t>
  </si>
  <si>
    <t>BD0522844</t>
  </si>
  <si>
    <t>SALSS000242</t>
  </si>
  <si>
    <t>SALSS000488</t>
  </si>
  <si>
    <t>SALSS001073</t>
  </si>
  <si>
    <t>SALSS001072</t>
  </si>
  <si>
    <t>SALSS002443</t>
  </si>
  <si>
    <t>SALSS001227</t>
  </si>
  <si>
    <t>SALSS001098</t>
  </si>
  <si>
    <t>SALSS001355</t>
  </si>
  <si>
    <t>SALSS000717</t>
  </si>
  <si>
    <t>SALSS002466</t>
  </si>
  <si>
    <t>SALSS001423</t>
  </si>
  <si>
    <t>SALSS001483</t>
  </si>
  <si>
    <t>SALSS001887</t>
  </si>
  <si>
    <t>SALSS000719</t>
  </si>
  <si>
    <t>SALSS001472</t>
  </si>
  <si>
    <t>SALSS001240</t>
  </si>
  <si>
    <t>SALSS001963</t>
  </si>
  <si>
    <t>SALSS001559</t>
  </si>
  <si>
    <t>SALSS001094</t>
  </si>
  <si>
    <t>SALSS001267</t>
  </si>
  <si>
    <t>SALSS001302</t>
  </si>
  <si>
    <t>SALSS001619</t>
  </si>
  <si>
    <t>SALSS001118</t>
  </si>
  <si>
    <t>SALSS001670</t>
  </si>
  <si>
    <t>SALSS001829</t>
  </si>
  <si>
    <t>SALSS002143</t>
  </si>
  <si>
    <t>SALSS001124</t>
  </si>
  <si>
    <t>SALSS001285</t>
  </si>
  <si>
    <t>SALSS001191</t>
  </si>
  <si>
    <t>SALSS001220</t>
  </si>
  <si>
    <t>SALSS001188</t>
  </si>
  <si>
    <t>SALSS001590</t>
  </si>
  <si>
    <t>199,CIL Layout Ground Rd,CIL Layout,Patel Muniyappa Layout,Cholanayakanahalli,Hebbal,Bengaluru,Karnataka 560024,India</t>
  </si>
  <si>
    <t>SSC107SM00202,35,9th Cross Rd,CIL Layout,Patel Muniyappa Layout,Cholanayakanahalli,Hebbal,Bengaluru,Karnataka 560024,India</t>
  </si>
  <si>
    <t>2JP2+2H4,Acharya college main road,Chola Nagar,Cholanayakanahalli,Hebbal,Bengaluru,Karnataka 560032,India</t>
  </si>
  <si>
    <t>20,9th Cross Rd,R.T.Nagar,Seethappa Layout,Chamundi Nagar,Hebbal,Bengaluru,Karnataka 560032,India</t>
  </si>
  <si>
    <t>86,RT Nagar,Sultanpalya,Hebbal,Bengaluru,Karnataka 560032,India</t>
  </si>
  <si>
    <t>20A,6th C Cross Rd,RT Nagar,Manorayana Palya,Hebbal,Bengaluru,Karnataka 560032,India</t>
  </si>
  <si>
    <t>Ganesh Krupa,21/16,2nd Cross Rd,Pragathi,Doddamma Layout,Chamundi Nagar,Hebbal,Bengaluru,Karnataka 560032,India</t>
  </si>
  <si>
    <t>40A,C/40A,4th Cross Rd,RT Nagar,Sultanpalya,Hebbal,Bengaluru,Karnataka 560032,India</t>
  </si>
  <si>
    <t>119/3,Tulsiamma Layout,Manorayana Palya,Hebbal,Bengaluru,Karnataka 560032,India</t>
  </si>
  <si>
    <t>157/2,thulasamma layout,Manorayana Palya,Hebbal,Bengaluru,Karnataka 560032,India</t>
  </si>
  <si>
    <t>145,5th Cross Rd,RT Nagar,Sultanpalya,Hebbal,Bengaluru,Karnataka 560032,India</t>
  </si>
  <si>
    <t>2JH2+MHW,3rd Cross Rd,Vishweshwaraiah Layout,Doddamma Layout,Manorayana Palya,Hebbal,Bengaluru,Karnataka 560032,India</t>
  </si>
  <si>
    <t>John KJ,134,5th Cross Rd,RT Nagar,Sultanpalya,Hebbal,Bengaluru,Karnataka 560032,India</t>
  </si>
  <si>
    <t>1,2nd Cross Rd,Vishweshwaraiah Layout,Doddamma Layout,Chamundi Nagar,Hebbal,Bengaluru,Karnataka 560032,India</t>
  </si>
  <si>
    <t>1st,4,Sultanpalya Main Rd,opposite Balaji Sweets,1st R Block,RT Nagar,Sultanpalya,Hebbal,Bengaluru,Karnataka 560032,India</t>
  </si>
  <si>
    <t>129,Sultanpalya Main Rd,1st R Block,RT Nagar,Sultanpalya,RT Nagar,Bengaluru,Karnataka 560032,India</t>
  </si>
  <si>
    <t>Bus Stop,1,1st Cross Rd,RT Nagar,Manorayana Palya,Hebbal,Bengaluru,Karnataka 560032,India</t>
  </si>
  <si>
    <t>2JH2+MMJ,3rd Cross Rd,Hanumanthappa Layout,Sultanpalya,Kaval Bairasandra,Bengaluru,Karnataka 560032,India</t>
  </si>
  <si>
    <t>Damodharan M,1359,RT Nagar,Sultanpalya,Hebbal,Bengaluru,Karnataka 560032,India</t>
  </si>
  <si>
    <t>3,1st Cross Rd,RT Nagar,Sultanpalya,Hebbal,Bengaluru,Karnataka 560032,India</t>
  </si>
  <si>
    <t>181,4th Cross Rd,Kanaka Nagar,Hebbal,Bengaluru,Karnataka 560032,India</t>
  </si>
  <si>
    <t>126,6th Cross St,RT Nagar,Sultanpalya,Hebbal,Bengaluru,Karnataka 560032,India</t>
  </si>
  <si>
    <t>Toufeek Manzil,2nd Cross St,Hanumanthappa Layout,Manorayana Palya,Hebbal,Bengaluru,Karnataka 560032,India</t>
  </si>
  <si>
    <t>299,5th Cross Rd,RT Nagar,Sultanpalya,Hebbal,Bengaluru,Karnataka 560032,India</t>
  </si>
  <si>
    <t>74,Seethappa Layout,Bhuvaneshwari Nagar,Hebbal,Bengaluru,Karnataka 560032,India</t>
  </si>
  <si>
    <t>455,Sultanpalya Main Rd,Bhuvaneshwari Nagar,Manorayana Palya,Hebbal,Bengaluru,Karnataka 560032,India</t>
  </si>
  <si>
    <t>35/1,5th Cross Rd,Hanumanthappa Layout,Sultanpalya,Hebbal,Bengaluru,Karnataka 560032,India</t>
  </si>
  <si>
    <t>1000,13th Cross Rd,Ayyappa Layout,RT Nagar,Sultanpalya,Hebbal,Bengaluru,Karnataka 560032,India</t>
  </si>
  <si>
    <t>357,1st Main Rd,Kanaka Nagar,Hebbal,Bengaluru,Karnataka 560032,India</t>
  </si>
  <si>
    <t>112,5th Cross Rd,near St Philomia School,Seethappa Layout,Post,RT Nagar,Bengaluru,Karnataka 560032,India</t>
  </si>
  <si>
    <t>23,23,Sultanpalya Main Rd,Near-Sagam Jewelery,Seethappa Layout,Chamundi Nagar,Hebbal,Bengaluru,Karnataka 560032,India</t>
  </si>
  <si>
    <t>4,KHB Colony Main Rd,Vinayaka Layout,Hanumanthappa Layout,Sultanpalya,Hebbal,Bengaluru,Karnataka 560032,India</t>
  </si>
  <si>
    <t>Y</t>
  </si>
  <si>
    <t>N</t>
  </si>
  <si>
    <t>https://schnell-s3-image.s3.ap-south-1.amazonaws.com/luminator/9aea59f0-2815-11f1-b526-73d57e7975f8.jpg</t>
  </si>
  <si>
    <t>https://schnell-s3-image.s3.ap-south-1.amazonaws.com/luminator/12e0ab80-2519-11f1-8a82-2b9b9c2c4c5b.jpg</t>
  </si>
  <si>
    <t>https://schnell-s3-image.s3.ap-south-1.amazonaws.com/luminator/5b35e8d0-5da6-11f1-aaa8-abe528f239ca.jpg</t>
  </si>
  <si>
    <t>https://schnell-s3-image.s3.ap-south-1.amazonaws.com/luminator/5bcad2a0-5da2-11f1-8d89-b9a8e21a2d6f.jpg</t>
  </si>
  <si>
    <t>https://schnell-s3-image.s3.ap-south-1.amazonaws.com/luminator/6a903bf0-5fdb-11f1-b60f-a10afdf0ab8a.jpg</t>
  </si>
  <si>
    <t>https://schnell-s3-image.s3.ap-south-1.amazonaws.com/luminator/3ab56170-670c-11f1-8ee1-cda3e5436ace.jpg</t>
  </si>
  <si>
    <t>https://schnell-s3-image.s3.ap-south-1.amazonaws.com/luminator/8ebccdc0-6870-11f1-8803-f382bb37a344.jpg</t>
  </si>
  <si>
    <t>https://schnell-s3-image.s3.ap-south-1.amazonaws.com/luminator/e05d14d0-6705-11f1-8ee1-cda3e5436ace.jpg</t>
  </si>
  <si>
    <t>https://schnell-s3-image.s3.ap-south-1.amazonaws.com/luminator/f3db9690-6713-11f1-8ee1-cda3e5436ace.jpg</t>
  </si>
  <si>
    <t>https://schnell-s3-image.s3.ap-south-1.amazonaws.com/luminator/ad183ae0-6710-11f1-8ee1-cda3e5436ace.jpg</t>
  </si>
  <si>
    <t>https://schnell-s3-image.s3.ap-south-1.amazonaws.com/luminator/d64f8120-66e3-11f1-8932-031d52a7577f.jpg</t>
  </si>
  <si>
    <t>https://schnell-s3-image.s3.ap-south-1.amazonaws.com/luminator/245b94e0-66ed-11f1-a431-57a0b7c7a246.jpg</t>
  </si>
  <si>
    <t>https://schnell-s3-image.s3.ap-south-1.amazonaws.com/luminator/e9440b30-6719-11f1-8ee1-cda3e5436ace.jpg</t>
  </si>
  <si>
    <t>https://schnell-s3-image.s3.ap-south-1.amazonaws.com/luminator/e9809110-66ef-11f1-a431-57a0b7c7a246.jpg</t>
  </si>
  <si>
    <t>https://schnell-s3-image.s3.ap-south-1.amazonaws.com/luminator/724c25d0-6700-11f1-8ee1-cda3e5436ace.jpg</t>
  </si>
  <si>
    <t>https://schnell-s3-image.s3.ap-south-1.amazonaws.com/luminator/c0962870-6873-11f1-8803-f382bb37a344.jpg</t>
  </si>
  <si>
    <t>https://schnell-s3-image.s3.ap-south-1.amazonaws.com/luminator/11857100-66f3-11f1-a431-57a0b7c7a246.jpg</t>
  </si>
  <si>
    <t>https://schnell-s3-image.s3.ap-south-1.amazonaws.com/luminator/86ba6b50-66f9-11f1-8ee1-cda3e5436ace.jpg</t>
  </si>
  <si>
    <t>https://schnell-s3-image.s3.ap-south-1.amazonaws.com/luminator/c619df70-66ee-11f1-a431-57a0b7c7a246.jpg</t>
  </si>
  <si>
    <t>https://schnell-s3-image.s3.ap-south-1.amazonaws.com/luminator/e26769f0-66e8-11f1-a431-57a0b7c7a246.jpg</t>
  </si>
  <si>
    <t>https://schnell-s3-image.s3.ap-south-1.amazonaws.com/luminator/2ff4a840-6888-11f1-8803-f382bb37a344.jpg</t>
  </si>
  <si>
    <t>https://schnell-s3-image.s3.ap-south-1.amazonaws.com/luminator/d76948e0-6880-11f1-8803-f382bb37a344.jpg</t>
  </si>
  <si>
    <t>https://schnell-s3-image.s3.ap-south-1.amazonaws.com/luminator/1c331820-687c-11f1-8803-f382bb37a344.jpg</t>
  </si>
  <si>
    <t>https://schnell-s3-image.s3.ap-south-1.amazonaws.com/luminator/a7bb1620-687e-11f1-8803-f382bb37a344.jpg</t>
  </si>
  <si>
    <t>https://schnell-s3-image.s3.ap-south-1.amazonaws.com/luminator/a5675260-688f-11f1-9e6a-a36ec4abbd45.jpg</t>
  </si>
  <si>
    <t>https://schnell-s3-image.s3.ap-south-1.amazonaws.com/luminator/3e1cedf0-68a2-11f1-ae38-bb74f814844d.jpg</t>
  </si>
  <si>
    <t>https://schnell-s3-image.s3.ap-south-1.amazonaws.com/luminator/3df34180-6884-11f1-8803-f382bb37a344.jpg</t>
  </si>
  <si>
    <t>https://schnell-s3-image.s3.ap-south-1.amazonaws.com/luminator/8597ac30-6878-11f1-8803-f382bb37a344.jpg</t>
  </si>
  <si>
    <t>https://schnell-s3-image.s3.ap-south-1.amazonaws.com/luminator/f9240b50-6899-11f1-9e6a-a36ec4abbd45.jpg</t>
  </si>
  <si>
    <t>https://schnell-s3-image.s3.ap-south-1.amazonaws.com/luminator/155d0920-68a4-11f1-ae38-bb74f814844d.jpg</t>
  </si>
  <si>
    <t>https://schnell-s3-image.s3.ap-south-1.amazonaws.com/luminator/58017240-689d-11f1-9e6a-a36ec4abbd45.jpg</t>
  </si>
  <si>
    <t>https://schnell-s3-image.s3.ap-south-1.amazonaws.com/luminator/7bc9fe40-6ba4-11f1-9aba-b74332dd560e.jpg</t>
  </si>
  <si>
    <t>Existing</t>
  </si>
  <si>
    <t>BESCOM Meter Image Link</t>
  </si>
  <si>
    <t>CCMS Image &amp; Salzer METER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</si>
</sst>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2"/>
      <color theme="1"/>
      <name val="Tw Cen MT"/>
      <family val="2"/>
    </font>
    <font>
      <sz val="11"/>
      <color theme="1"/>
      <name val="Tw Cen MT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3" fillId="0" borderId="3" xfId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ema\Desktop\Final%20Pole,%20lamp%20,%20SLC%20&amp;%20Commissioning%20Report\FINAL%20REPORT\SLC%20BBMP%20Format%20-%20Mail%20Sent\North\Hebbal\WARD%2065.xlsx" TargetMode="External"/><Relationship Id="rId1" Type="http://schemas.openxmlformats.org/officeDocument/2006/relationships/externalLinkPath" Target="WARD%206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CCMS Panel ID</v>
          </cell>
          <cell r="C1" t="str">
            <v>Transformer NUMBER</v>
          </cell>
          <cell r="D1" t="str">
            <v>R R Number</v>
          </cell>
          <cell r="E1" t="str">
            <v>BESCOM Meter Sr#</v>
          </cell>
          <cell r="F1" t="str">
            <v>BESCOM Meter Image</v>
          </cell>
        </row>
        <row r="2">
          <cell r="B2" t="str">
            <v>SSC107SM00200</v>
          </cell>
          <cell r="C2">
            <v>5</v>
          </cell>
          <cell r="D2" t="str">
            <v>C4HSL49A</v>
          </cell>
          <cell r="E2" t="str">
            <v>BD0023679</v>
          </cell>
          <cell r="F2" t="str">
            <v>https://schnell-s3-image.s3.ap-south-1.amazonaws.com/luminator/dd202200-cab4-11f0-950a-bfc97282def0.jpg</v>
          </cell>
        </row>
        <row r="3">
          <cell r="B3" t="str">
            <v>SSC107SM00202</v>
          </cell>
          <cell r="C3">
            <v>1</v>
          </cell>
          <cell r="D3" t="str">
            <v>C4HSL84A</v>
          </cell>
          <cell r="E3" t="str">
            <v>BD025836</v>
          </cell>
          <cell r="F3" t="str">
            <v>https://schnell-s3-image.s3.ap-south-1.amazonaws.com/luminator/3fbe27a0-c1ea-11f0-a7f3-3fbf68a2e748.jpg</v>
          </cell>
        </row>
        <row r="4">
          <cell r="B4" t="str">
            <v>SSC107SM01724</v>
          </cell>
          <cell r="C4">
            <v>113</v>
          </cell>
          <cell r="D4" t="str">
            <v>-</v>
          </cell>
          <cell r="E4" t="str">
            <v>BD0607750</v>
          </cell>
          <cell r="F4" t="str">
            <v>https://schnell-s3-image.s3.ap-south-1.amazonaws.com/luminator/9ba721d0-c900-11f0-84e9-d3326039e868.jpg</v>
          </cell>
        </row>
        <row r="5">
          <cell r="B5" t="str">
            <v>SSC107SM01727</v>
          </cell>
          <cell r="C5">
            <v>73</v>
          </cell>
          <cell r="D5" t="str">
            <v>SLD73A</v>
          </cell>
          <cell r="E5" t="str">
            <v>BC2312489</v>
          </cell>
          <cell r="F5" t="str">
            <v>https://schnell-s3-image.s3.ap-south-1.amazonaws.com/luminator/e275cd70-c769-11f0-86b4-ed0dab6aa480.jpg</v>
          </cell>
        </row>
        <row r="6">
          <cell r="B6" t="str">
            <v>SSC107SM01428</v>
          </cell>
          <cell r="C6">
            <v>28</v>
          </cell>
          <cell r="D6">
            <v>31073</v>
          </cell>
          <cell r="E6" t="str">
            <v>BC0054130</v>
          </cell>
          <cell r="F6" t="str">
            <v>https://schnell-s3-image.s3.ap-south-1.amazonaws.com/luminator/df7a5c20-c837-11f0-a7f4-17587747100d.jpg</v>
          </cell>
        </row>
        <row r="7">
          <cell r="B7" t="str">
            <v>SSC107SM01878</v>
          </cell>
          <cell r="C7">
            <v>57</v>
          </cell>
          <cell r="D7" t="str">
            <v>-</v>
          </cell>
          <cell r="E7" t="str">
            <v>BD013924</v>
          </cell>
          <cell r="F7" t="str">
            <v>https://schnell-s3-image.s3.ap-south-1.amazonaws.com/luminator/8e0319f0-c449-11f0-b43d-fd20152c1690.jpg</v>
          </cell>
        </row>
        <row r="8">
          <cell r="B8" t="str">
            <v>SSC107SM01877</v>
          </cell>
          <cell r="C8">
            <v>585</v>
          </cell>
          <cell r="D8">
            <v>810159</v>
          </cell>
          <cell r="E8" t="str">
            <v>BC0128693</v>
          </cell>
          <cell r="F8" t="str">
            <v>https://schnell-s3-image.s3.ap-south-1.amazonaws.com/luminator/8f1ddfe0-cc38-11f0-b1e1-7f832b47a112.jpg</v>
          </cell>
        </row>
        <row r="9">
          <cell r="B9" t="str">
            <v>SSC107SM01975</v>
          </cell>
          <cell r="C9">
            <v>3</v>
          </cell>
          <cell r="D9" t="str">
            <v>SLDCC3B</v>
          </cell>
          <cell r="E9" t="str">
            <v>BD0128698</v>
          </cell>
          <cell r="F9" t="str">
            <v>https://schnell-s3-image.s3.ap-south-1.amazonaws.com/luminator/f4760b50-c1df-11f0-99e7-83a150d087f9.jpg</v>
          </cell>
        </row>
        <row r="10">
          <cell r="B10" t="str">
            <v>SSC107SM01586</v>
          </cell>
          <cell r="C10">
            <v>188</v>
          </cell>
          <cell r="D10" t="str">
            <v>CSTP9167</v>
          </cell>
          <cell r="E10" t="str">
            <v>BD0276973</v>
          </cell>
          <cell r="F10" t="str">
            <v>https://schnell-s3-image.s3.ap-south-1.amazonaws.com/luminator/d5c0ca40-c443-11f0-994b-3d7344313c72.jpg</v>
          </cell>
        </row>
        <row r="11">
          <cell r="B11" t="str">
            <v>SSC107SM01803</v>
          </cell>
          <cell r="C11">
            <v>188</v>
          </cell>
          <cell r="D11" t="str">
            <v>SL0188</v>
          </cell>
          <cell r="E11" t="str">
            <v>A4822974</v>
          </cell>
          <cell r="F11" t="str">
            <v>https://schnell-s3-image.s3.ap-south-1.amazonaws.com/luminator/487c8400-c446-11f0-994b-3d7344313c72.jpg</v>
          </cell>
        </row>
        <row r="12">
          <cell r="B12" t="str">
            <v>SSC107SM01824</v>
          </cell>
          <cell r="C12">
            <v>44</v>
          </cell>
          <cell r="D12" t="str">
            <v>C412SL44</v>
          </cell>
          <cell r="E12" t="str">
            <v>BD0602450</v>
          </cell>
          <cell r="F12" t="str">
            <v>https://schnell-s3-image.s3.ap-south-1.amazonaws.com/luminator/5e656210-c2bf-11f0-98c9-8ddd41b252f7.jpg</v>
          </cell>
        </row>
        <row r="13">
          <cell r="B13" t="str">
            <v>SSC107SM01907</v>
          </cell>
          <cell r="C13">
            <v>2</v>
          </cell>
          <cell r="D13" t="str">
            <v>CSTD-T204</v>
          </cell>
          <cell r="E13" t="str">
            <v>BC1141025</v>
          </cell>
          <cell r="F13" t="str">
            <v>https://schnell-s3-image.s3.ap-south-1.amazonaws.com/luminator/05677db0-c2ab-11f0-b593-f1605702642a.jpg</v>
          </cell>
        </row>
        <row r="14">
          <cell r="B14" t="str">
            <v>SSC107SM01698</v>
          </cell>
          <cell r="C14">
            <v>56</v>
          </cell>
          <cell r="D14" t="str">
            <v>7A</v>
          </cell>
          <cell r="E14" t="str">
            <v>BD013927</v>
          </cell>
          <cell r="F14" t="str">
            <v>https://schnell-s3-image.s3.ap-south-1.amazonaws.com/luminator/5bd05150-c83b-11f0-a7f4-17587747100d.jpg</v>
          </cell>
        </row>
        <row r="15">
          <cell r="B15" t="str">
            <v>SSC107SM01594</v>
          </cell>
          <cell r="C15">
            <v>1</v>
          </cell>
          <cell r="D15" t="str">
            <v>SLD001</v>
          </cell>
          <cell r="E15" t="str">
            <v>BD0233575</v>
          </cell>
          <cell r="F15" t="str">
            <v>https://schnell-s3-image.s3.ap-south-1.amazonaws.com/luminator/395bfd00-c1fa-11f0-93d5-dfd29a6b3403.jpg</v>
          </cell>
        </row>
        <row r="16">
          <cell r="B16" t="str">
            <v>SSC107SM01935</v>
          </cell>
          <cell r="C16">
            <v>263</v>
          </cell>
          <cell r="D16" t="str">
            <v>SLD009</v>
          </cell>
          <cell r="E16" t="str">
            <v>BD0522841</v>
          </cell>
          <cell r="F16" t="str">
            <v>https://schnell-s3-image.s3.ap-south-1.amazonaws.com/luminator/aaf50ab0-08b3-11f1-b534-cfb659e609b4.jpg</v>
          </cell>
        </row>
        <row r="17">
          <cell r="B17" t="str">
            <v>SSC107SM02064</v>
          </cell>
          <cell r="C17">
            <v>28</v>
          </cell>
          <cell r="D17" t="str">
            <v>-</v>
          </cell>
          <cell r="E17" t="str">
            <v>BD0091877</v>
          </cell>
          <cell r="F17" t="str">
            <v>https://schnell-s3-image.s3.ap-south-1.amazonaws.com/luminator/a53c4a00-c1f7-11f0-93d5-dfd29a6b3403.jpg</v>
          </cell>
        </row>
        <row r="18">
          <cell r="B18" t="str">
            <v>SSC107SM02394</v>
          </cell>
          <cell r="C18">
            <v>279</v>
          </cell>
          <cell r="D18" t="str">
            <v>279-A</v>
          </cell>
          <cell r="E18">
            <v>53179689</v>
          </cell>
          <cell r="F18" t="str">
            <v>https://schnell-s3-image.s3.ap-south-1.amazonaws.com/luminator/3217eab0-c2b6-11f0-9096-ff425a9ee05d.jpg</v>
          </cell>
        </row>
        <row r="19">
          <cell r="B19" t="str">
            <v>SSC107SM01867</v>
          </cell>
          <cell r="C19">
            <v>3</v>
          </cell>
          <cell r="D19" t="str">
            <v>SLD0036</v>
          </cell>
          <cell r="E19">
            <v>53032239</v>
          </cell>
          <cell r="F19" t="str">
            <v>https://schnell-s3-image.s3.ap-south-1.amazonaws.com/luminator/0467b670-c1e6-11f0-a7f3-3fbf68a2e748.jpg</v>
          </cell>
        </row>
        <row r="20">
          <cell r="B20" t="str">
            <v>SSC107SM01990</v>
          </cell>
          <cell r="C20">
            <v>2</v>
          </cell>
          <cell r="D20" t="str">
            <v>SLD2A</v>
          </cell>
          <cell r="E20" t="str">
            <v>BD0213564</v>
          </cell>
          <cell r="F20" t="str">
            <v>https://schnell-s3-image.s3.ap-south-1.amazonaws.com/luminator/62f7ef20-c1e6-11f0-a7f3-3fbf68a2e748.jpg</v>
          </cell>
        </row>
        <row r="21">
          <cell r="B21" t="str">
            <v>SSC107SM01703</v>
          </cell>
          <cell r="C21">
            <v>588</v>
          </cell>
          <cell r="D21">
            <v>279</v>
          </cell>
          <cell r="E21" t="str">
            <v>BD011891</v>
          </cell>
          <cell r="F21" t="str">
            <v>https://schnell-s3-image.s3.ap-south-1.amazonaws.com/luminator/28269c50-c2ba-11f0-9096-ff425a9ee05d.jpg</v>
          </cell>
        </row>
        <row r="22">
          <cell r="B22" t="str">
            <v>SSC107SM01754</v>
          </cell>
          <cell r="C22">
            <v>68</v>
          </cell>
          <cell r="D22" t="str">
            <v>6SL422079</v>
          </cell>
          <cell r="E22" t="str">
            <v>A2614993</v>
          </cell>
          <cell r="F22" t="str">
            <v>https://schnell-s3-image.s3.ap-south-1.amazonaws.com/luminator/0259e6f0-caab-11f0-950a-bfc97282def0.jpg</v>
          </cell>
        </row>
        <row r="23">
          <cell r="B23" t="str">
            <v>SSC107SM02382</v>
          </cell>
          <cell r="C23">
            <v>290</v>
          </cell>
          <cell r="D23" t="str">
            <v>SLC5101</v>
          </cell>
          <cell r="E23" t="str">
            <v>BD0466756</v>
          </cell>
          <cell r="F23" t="str">
            <v>https://schnell-s3-image.s3.ap-south-1.amazonaws.com/luminator/e97301b0-ca9d-11f0-950a-bfc97282def0.jpg</v>
          </cell>
        </row>
        <row r="24">
          <cell r="B24" t="str">
            <v>SSC107SM01927</v>
          </cell>
          <cell r="C24">
            <v>92</v>
          </cell>
          <cell r="D24" t="str">
            <v>SLD92</v>
          </cell>
          <cell r="E24" t="str">
            <v>BD0887714</v>
          </cell>
          <cell r="F24" t="str">
            <v>https://schnell-s3-image.s3.ap-south-1.amazonaws.com/luminator/0622dc30-c842-11f0-a7f4-17587747100d.jpg</v>
          </cell>
        </row>
        <row r="25">
          <cell r="B25" t="str">
            <v>SSC107SM01957</v>
          </cell>
          <cell r="C25">
            <v>92</v>
          </cell>
          <cell r="D25">
            <v>290</v>
          </cell>
          <cell r="E25" t="str">
            <v>BD016451</v>
          </cell>
          <cell r="F25" t="str">
            <v>https://schnell-s3-image.s3.ap-south-1.amazonaws.com/luminator/868d3a70-c840-11f0-a7f4-17587747100d.jpg</v>
          </cell>
        </row>
        <row r="26">
          <cell r="B26" t="str">
            <v>SSC107SM01750</v>
          </cell>
          <cell r="C26">
            <v>474</v>
          </cell>
          <cell r="D26" t="str">
            <v>SLCSLG45035</v>
          </cell>
          <cell r="E26">
            <v>50311609</v>
          </cell>
          <cell r="F26" t="str">
            <v>https://schnell-s3-image.s3.ap-south-1.amazonaws.com/luminator/5a2b9350-c50c-11f0-bba2-078c4d4d0dc7.jpg</v>
          </cell>
        </row>
        <row r="27">
          <cell r="B27" t="str">
            <v>SSC107SM01746</v>
          </cell>
          <cell r="C27">
            <v>221</v>
          </cell>
          <cell r="D27" t="str">
            <v>-</v>
          </cell>
          <cell r="E27" t="str">
            <v>BC0763793</v>
          </cell>
          <cell r="F27" t="str">
            <v>https://schnell-s3-image.s3.ap-south-1.amazonaws.com/luminator/62f7ef20-c1e6-11f0-a7f3-3fbf68a2e748.jpg</v>
          </cell>
        </row>
        <row r="28">
          <cell r="B28" t="str">
            <v>SSC107SM02154</v>
          </cell>
          <cell r="C28">
            <v>290</v>
          </cell>
          <cell r="D28" t="str">
            <v>SLD71A</v>
          </cell>
          <cell r="E28" t="str">
            <v>BD011893</v>
          </cell>
          <cell r="F28" t="str">
            <v>https://schnell-s3-image.s3.ap-south-1.amazonaws.com/luminator/a445ce00-caa8-11f0-950a-bfc97282def0.jpg</v>
          </cell>
        </row>
        <row r="29">
          <cell r="B29" t="str">
            <v>SSC107SM01830</v>
          </cell>
          <cell r="C29">
            <v>433</v>
          </cell>
          <cell r="D29" t="str">
            <v>SLD054</v>
          </cell>
          <cell r="E29">
            <v>50106177</v>
          </cell>
          <cell r="F29" t="str">
            <v>https://schnell-s3-image.s3.ap-south-1.amazonaws.com/luminator/0f7357b0-c833-11f0-a7f4-17587747100d.jpg</v>
          </cell>
        </row>
        <row r="30">
          <cell r="B30" t="str">
            <v>SSC107SM02468</v>
          </cell>
          <cell r="C30">
            <v>71</v>
          </cell>
          <cell r="D30" t="str">
            <v>SLDC71B</v>
          </cell>
          <cell r="E30" t="str">
            <v>BD0088686</v>
          </cell>
          <cell r="F30" t="str">
            <v>https://schnell-s3-image.s3.ap-south-1.amazonaws.com/luminator/d8a46540-cab1-11f0-950a-bfc97282def0.jpg</v>
          </cell>
        </row>
        <row r="31">
          <cell r="B31" t="str">
            <v>SSC107SM01993</v>
          </cell>
          <cell r="C31">
            <v>75</v>
          </cell>
          <cell r="D31">
            <v>75</v>
          </cell>
          <cell r="E31" t="str">
            <v>BC0614001</v>
          </cell>
          <cell r="F31" t="str">
            <v>https://schnell-s3-image.s3.ap-south-1.amazonaws.com/luminator/cf523800-c45d-11f0-a0ff-9382c4042493.jpg</v>
          </cell>
        </row>
        <row r="32">
          <cell r="B32" t="str">
            <v>SSC107SM01854</v>
          </cell>
          <cell r="C32">
            <v>71</v>
          </cell>
          <cell r="D32" t="str">
            <v>SLD72</v>
          </cell>
          <cell r="E32" t="str">
            <v>BD0522844</v>
          </cell>
          <cell r="F32" t="str">
            <v>https://schnell-s3-image.s3.ap-south-1.amazonaws.com/luminator/70e862f0-c906-11f0-84e9-d3326039e868.jpg</v>
          </cell>
        </row>
        <row r="33">
          <cell r="B33" t="str">
            <v>SSC107SM01666</v>
          </cell>
          <cell r="C33" t="str">
            <v>-</v>
          </cell>
          <cell r="D33" t="str">
            <v>SLCSL-56335</v>
          </cell>
          <cell r="E33">
            <v>68147198</v>
          </cell>
          <cell r="F33" t="str">
            <v>https://schnell-s3-image.s3.ap-south-1.amazonaws.com/luminator/0f7357b0-c833-11f0-a7f4-17587747100d.jpg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4304-FCE4-42E3-A68A-7EB5182FF979}">
  <dimension ref="A1:AA34"/>
  <sheetViews>
    <sheetView tabSelected="1" workbookViewId="0">
      <selection activeCell="A2" sqref="A2:XFD2"/>
    </sheetView>
  </sheetViews>
  <sheetFormatPr defaultRowHeight="14.4" x14ac:dyDescent="0.3"/>
  <cols>
    <col min="3" max="3" width="0" hidden="1" customWidth="1"/>
    <col min="4" max="4" width="13.21875" bestFit="1" customWidth="1"/>
    <col min="5" max="5" width="10.5546875" bestFit="1" customWidth="1"/>
    <col min="6" max="6" width="0" hidden="1" customWidth="1"/>
    <col min="7" max="7" width="13" hidden="1" customWidth="1"/>
    <col min="8" max="8" width="16.44140625" customWidth="1"/>
    <col min="9" max="9" width="11.6640625" bestFit="1" customWidth="1"/>
    <col min="11" max="11" width="14.5546875" bestFit="1" customWidth="1"/>
    <col min="12" max="12" width="14.109375" hidden="1" customWidth="1"/>
    <col min="13" max="13" width="14.109375" customWidth="1"/>
  </cols>
  <sheetData>
    <row r="1" spans="1:27" s="1" customFormat="1" ht="15.6" customHeight="1" x14ac:dyDescent="0.25">
      <c r="A1" s="9" t="s">
        <v>0</v>
      </c>
      <c r="B1" s="10"/>
      <c r="C1" s="10"/>
      <c r="D1" s="10"/>
      <c r="E1" s="10"/>
      <c r="F1" s="10"/>
      <c r="G1" s="11"/>
      <c r="H1" s="8"/>
      <c r="I1" s="9" t="s">
        <v>1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/>
    </row>
    <row r="2" spans="1:27" s="1" customFormat="1" ht="62.4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209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210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</row>
    <row r="3" spans="1:27" x14ac:dyDescent="0.3">
      <c r="A3" s="5">
        <v>1</v>
      </c>
      <c r="B3" s="6">
        <v>5</v>
      </c>
      <c r="C3" s="5"/>
      <c r="D3" s="5" t="s">
        <v>60</v>
      </c>
      <c r="E3" s="5" t="s">
        <v>83</v>
      </c>
      <c r="F3" s="4"/>
      <c r="G3" s="7" t="str">
        <f>VLOOKUP(K3,[1]Sheet1!$B:$F,5,0)</f>
        <v>https://schnell-s3-image.s3.ap-south-1.amazonaws.com/luminator/dd202200-cab4-11f0-950a-bfc97282def0.jpg</v>
      </c>
      <c r="H3" s="7" t="str">
        <f>HYPERLINK(G3)</f>
        <v>https://schnell-s3-image.s3.ap-south-1.amazonaws.com/luminator/dd202200-cab4-11f0-950a-bfc97282def0.jpg</v>
      </c>
      <c r="I3" s="5" t="s">
        <v>110</v>
      </c>
      <c r="J3" s="5">
        <v>5</v>
      </c>
      <c r="K3" s="5" t="s">
        <v>27</v>
      </c>
      <c r="L3" s="7" t="s">
        <v>176</v>
      </c>
      <c r="M3" s="7" t="str">
        <f>HYPERLINK(L3)</f>
        <v>https://schnell-s3-image.s3.ap-south-1.amazonaws.com/luminator/9aea59f0-2815-11f1-b526-73d57e7975f8.jpg</v>
      </c>
      <c r="N3" s="5" t="s">
        <v>208</v>
      </c>
      <c r="O3" s="6" t="s">
        <v>174</v>
      </c>
      <c r="P3" s="5">
        <v>13.035641099999999</v>
      </c>
      <c r="Q3" s="5">
        <v>77.601307500000004</v>
      </c>
      <c r="R3" s="4" t="s">
        <v>142</v>
      </c>
      <c r="S3" s="5">
        <v>2</v>
      </c>
      <c r="T3" s="5">
        <v>18</v>
      </c>
      <c r="U3" s="5">
        <v>0</v>
      </c>
      <c r="V3" s="5">
        <v>0</v>
      </c>
      <c r="W3" s="5">
        <v>0</v>
      </c>
      <c r="X3" s="5">
        <v>1</v>
      </c>
      <c r="Y3" s="3">
        <v>0</v>
      </c>
      <c r="Z3" s="3">
        <v>0</v>
      </c>
      <c r="AA3" s="3"/>
    </row>
    <row r="4" spans="1:27" x14ac:dyDescent="0.3">
      <c r="A4" s="5">
        <v>2</v>
      </c>
      <c r="B4" s="6">
        <v>1</v>
      </c>
      <c r="C4" s="5"/>
      <c r="D4" s="5" t="s">
        <v>61</v>
      </c>
      <c r="E4" s="5" t="s">
        <v>84</v>
      </c>
      <c r="F4" s="4"/>
      <c r="G4" s="7" t="str">
        <f>VLOOKUP(K4,[1]Sheet1!$B:$F,5,0)</f>
        <v>https://schnell-s3-image.s3.ap-south-1.amazonaws.com/luminator/3fbe27a0-c1ea-11f0-a7f3-3fbf68a2e748.jpg</v>
      </c>
      <c r="H4" s="7" t="str">
        <f t="shared" ref="H4:H34" si="0">HYPERLINK(G4)</f>
        <v>https://schnell-s3-image.s3.ap-south-1.amazonaws.com/luminator/3fbe27a0-c1ea-11f0-a7f3-3fbf68a2e748.jpg</v>
      </c>
      <c r="I4" s="5" t="s">
        <v>111</v>
      </c>
      <c r="J4" s="5">
        <v>1</v>
      </c>
      <c r="K4" s="5" t="s">
        <v>28</v>
      </c>
      <c r="L4" s="7" t="s">
        <v>177</v>
      </c>
      <c r="M4" s="7" t="str">
        <f t="shared" ref="M4:M34" si="1">HYPERLINK(L4)</f>
        <v>https://schnell-s3-image.s3.ap-south-1.amazonaws.com/luminator/12e0ab80-2519-11f1-8a82-2b9b9c2c4c5b.jpg</v>
      </c>
      <c r="N4" s="5" t="s">
        <v>208</v>
      </c>
      <c r="O4" s="6" t="s">
        <v>174</v>
      </c>
      <c r="P4" s="5">
        <v>13.036274300000001</v>
      </c>
      <c r="Q4" s="5">
        <v>77.601654800000006</v>
      </c>
      <c r="R4" s="4" t="s">
        <v>143</v>
      </c>
      <c r="S4" s="5">
        <v>24</v>
      </c>
      <c r="T4" s="5">
        <v>4</v>
      </c>
      <c r="U4" s="5">
        <v>0</v>
      </c>
      <c r="V4" s="5">
        <v>0</v>
      </c>
      <c r="W4" s="5">
        <v>0</v>
      </c>
      <c r="X4" s="5">
        <v>0</v>
      </c>
      <c r="Y4" s="3">
        <v>0</v>
      </c>
      <c r="Z4" s="3">
        <v>0</v>
      </c>
      <c r="AA4" s="3"/>
    </row>
    <row r="5" spans="1:27" x14ac:dyDescent="0.3">
      <c r="A5" s="5">
        <v>3</v>
      </c>
      <c r="B5" s="6">
        <v>113</v>
      </c>
      <c r="C5" s="5"/>
      <c r="D5" s="5" t="s">
        <v>59</v>
      </c>
      <c r="E5" s="5" t="s">
        <v>85</v>
      </c>
      <c r="F5" s="4"/>
      <c r="G5" s="7" t="str">
        <f>VLOOKUP(K5,[1]Sheet1!$B:$F,5,0)</f>
        <v>https://schnell-s3-image.s3.ap-south-1.amazonaws.com/luminator/9ba721d0-c900-11f0-84e9-d3326039e868.jpg</v>
      </c>
      <c r="H5" s="7" t="str">
        <f t="shared" si="0"/>
        <v>https://schnell-s3-image.s3.ap-south-1.amazonaws.com/luminator/9ba721d0-c900-11f0-84e9-d3326039e868.jpg</v>
      </c>
      <c r="I5" s="5" t="s">
        <v>112</v>
      </c>
      <c r="J5" s="5">
        <v>10</v>
      </c>
      <c r="K5" s="5" t="s">
        <v>29</v>
      </c>
      <c r="L5" s="7" t="s">
        <v>178</v>
      </c>
      <c r="M5" s="7" t="str">
        <f t="shared" si="1"/>
        <v>https://schnell-s3-image.s3.ap-south-1.amazonaws.com/luminator/5b35e8d0-5da6-11f1-aaa8-abe528f239ca.jpg</v>
      </c>
      <c r="N5" s="5" t="s">
        <v>208</v>
      </c>
      <c r="O5" s="6" t="s">
        <v>174</v>
      </c>
      <c r="P5" s="5">
        <v>13.03486</v>
      </c>
      <c r="Q5" s="5">
        <v>77.601389999999995</v>
      </c>
      <c r="R5" s="4" t="s">
        <v>144</v>
      </c>
      <c r="S5" s="5">
        <v>9</v>
      </c>
      <c r="T5" s="5">
        <v>13</v>
      </c>
      <c r="U5" s="5">
        <v>0</v>
      </c>
      <c r="V5" s="5">
        <v>0</v>
      </c>
      <c r="W5" s="5">
        <v>0</v>
      </c>
      <c r="X5" s="5">
        <v>4</v>
      </c>
      <c r="Y5" s="3">
        <v>14</v>
      </c>
      <c r="Z5" s="3">
        <v>0</v>
      </c>
      <c r="AA5" s="3"/>
    </row>
    <row r="6" spans="1:27" x14ac:dyDescent="0.3">
      <c r="A6" s="5">
        <v>4</v>
      </c>
      <c r="B6" s="6">
        <v>73</v>
      </c>
      <c r="C6" s="5"/>
      <c r="D6" s="5" t="s">
        <v>62</v>
      </c>
      <c r="E6" s="5" t="s">
        <v>86</v>
      </c>
      <c r="F6" s="4"/>
      <c r="G6" s="7" t="str">
        <f>VLOOKUP(K6,[1]Sheet1!$B:$F,5,0)</f>
        <v>https://schnell-s3-image.s3.ap-south-1.amazonaws.com/luminator/e275cd70-c769-11f0-86b4-ed0dab6aa480.jpg</v>
      </c>
      <c r="H6" s="7" t="str">
        <f t="shared" si="0"/>
        <v>https://schnell-s3-image.s3.ap-south-1.amazonaws.com/luminator/e275cd70-c769-11f0-86b4-ed0dab6aa480.jpg</v>
      </c>
      <c r="I6" s="5" t="s">
        <v>113</v>
      </c>
      <c r="J6" s="5">
        <v>10</v>
      </c>
      <c r="K6" s="5" t="s">
        <v>30</v>
      </c>
      <c r="L6" s="7" t="s">
        <v>179</v>
      </c>
      <c r="M6" s="7" t="str">
        <f t="shared" si="1"/>
        <v>https://schnell-s3-image.s3.ap-south-1.amazonaws.com/luminator/5bcad2a0-5da2-11f1-8d89-b9a8e21a2d6f.jpg</v>
      </c>
      <c r="N6" s="5" t="s">
        <v>208</v>
      </c>
      <c r="O6" s="6" t="s">
        <v>174</v>
      </c>
      <c r="P6" s="5">
        <v>13.03491</v>
      </c>
      <c r="Q6" s="5">
        <v>77.603110000000001</v>
      </c>
      <c r="R6" s="4" t="s">
        <v>145</v>
      </c>
      <c r="S6" s="5">
        <v>1</v>
      </c>
      <c r="T6" s="5">
        <v>9</v>
      </c>
      <c r="U6" s="5">
        <v>4</v>
      </c>
      <c r="V6" s="5">
        <v>0</v>
      </c>
      <c r="W6" s="5">
        <v>0</v>
      </c>
      <c r="X6" s="5">
        <v>26</v>
      </c>
      <c r="Y6" s="3">
        <v>3</v>
      </c>
      <c r="Z6" s="3">
        <v>0</v>
      </c>
      <c r="AA6" s="3"/>
    </row>
    <row r="7" spans="1:27" x14ac:dyDescent="0.3">
      <c r="A7" s="5">
        <v>5</v>
      </c>
      <c r="B7" s="6">
        <v>28</v>
      </c>
      <c r="C7" s="5"/>
      <c r="D7" s="5">
        <v>31073</v>
      </c>
      <c r="E7" s="5" t="s">
        <v>87</v>
      </c>
      <c r="F7" s="4"/>
      <c r="G7" s="7" t="str">
        <f>VLOOKUP(K7,[1]Sheet1!$B:$F,5,0)</f>
        <v>https://schnell-s3-image.s3.ap-south-1.amazonaws.com/luminator/df7a5c20-c837-11f0-a7f4-17587747100d.jpg</v>
      </c>
      <c r="H7" s="7" t="str">
        <f t="shared" si="0"/>
        <v>https://schnell-s3-image.s3.ap-south-1.amazonaws.com/luminator/df7a5c20-c837-11f0-a7f4-17587747100d.jpg</v>
      </c>
      <c r="I7" s="5" t="s">
        <v>114</v>
      </c>
      <c r="J7" s="5">
        <v>7</v>
      </c>
      <c r="K7" s="5" t="s">
        <v>31</v>
      </c>
      <c r="L7" s="7" t="s">
        <v>180</v>
      </c>
      <c r="M7" s="7" t="str">
        <f t="shared" si="1"/>
        <v>https://schnell-s3-image.s3.ap-south-1.amazonaws.com/luminator/6a903bf0-5fdb-11f1-b60f-a10afdf0ab8a.jpg</v>
      </c>
      <c r="N7" s="5" t="s">
        <v>208</v>
      </c>
      <c r="O7" s="6" t="s">
        <v>174</v>
      </c>
      <c r="P7" s="5">
        <v>13.027670000000001</v>
      </c>
      <c r="Q7" s="5">
        <v>77.603970000000004</v>
      </c>
      <c r="R7" s="4" t="s">
        <v>146</v>
      </c>
      <c r="S7" s="5">
        <v>3</v>
      </c>
      <c r="T7" s="5">
        <v>3</v>
      </c>
      <c r="U7" s="5">
        <v>1</v>
      </c>
      <c r="V7" s="5">
        <v>0</v>
      </c>
      <c r="W7" s="5">
        <v>0</v>
      </c>
      <c r="X7" s="5">
        <v>7</v>
      </c>
      <c r="Y7" s="3">
        <v>0</v>
      </c>
      <c r="Z7" s="3">
        <v>0</v>
      </c>
      <c r="AA7" s="3"/>
    </row>
    <row r="8" spans="1:27" x14ac:dyDescent="0.3">
      <c r="A8" s="5">
        <v>6</v>
      </c>
      <c r="B8" s="6">
        <v>57</v>
      </c>
      <c r="C8" s="5"/>
      <c r="D8" s="5" t="s">
        <v>59</v>
      </c>
      <c r="E8" s="5" t="s">
        <v>88</v>
      </c>
      <c r="F8" s="4"/>
      <c r="G8" s="7" t="str">
        <f>VLOOKUP(K8,[1]Sheet1!$B:$F,5,0)</f>
        <v>https://schnell-s3-image.s3.ap-south-1.amazonaws.com/luminator/8e0319f0-c449-11f0-b43d-fd20152c1690.jpg</v>
      </c>
      <c r="H8" s="7" t="str">
        <f t="shared" si="0"/>
        <v>https://schnell-s3-image.s3.ap-south-1.amazonaws.com/luminator/8e0319f0-c449-11f0-b43d-fd20152c1690.jpg</v>
      </c>
      <c r="I8" s="5" t="s">
        <v>115</v>
      </c>
      <c r="J8" s="5">
        <v>13</v>
      </c>
      <c r="K8" s="5" t="s">
        <v>32</v>
      </c>
      <c r="L8" s="7" t="s">
        <v>181</v>
      </c>
      <c r="M8" s="7" t="str">
        <f t="shared" si="1"/>
        <v>https://schnell-s3-image.s3.ap-south-1.amazonaws.com/luminator/3ab56170-670c-11f1-8ee1-cda3e5436ace.jpg</v>
      </c>
      <c r="N8" s="5" t="s">
        <v>208</v>
      </c>
      <c r="O8" s="6" t="s">
        <v>59</v>
      </c>
      <c r="P8" s="5">
        <v>13.0299798</v>
      </c>
      <c r="Q8" s="5">
        <v>77.603908200000006</v>
      </c>
      <c r="R8" s="4" t="s">
        <v>147</v>
      </c>
      <c r="S8" s="5">
        <v>4</v>
      </c>
      <c r="T8" s="5">
        <v>12</v>
      </c>
      <c r="U8" s="5">
        <v>0</v>
      </c>
      <c r="V8" s="5">
        <v>0</v>
      </c>
      <c r="W8" s="5">
        <v>0</v>
      </c>
      <c r="X8" s="5">
        <v>8</v>
      </c>
      <c r="Y8" s="3">
        <v>8</v>
      </c>
      <c r="Z8" s="3">
        <v>0</v>
      </c>
      <c r="AA8" s="3"/>
    </row>
    <row r="9" spans="1:27" x14ac:dyDescent="0.3">
      <c r="A9" s="5">
        <v>7</v>
      </c>
      <c r="B9" s="6">
        <v>585</v>
      </c>
      <c r="C9" s="5"/>
      <c r="D9" s="5">
        <v>810159</v>
      </c>
      <c r="E9" s="5" t="s">
        <v>89</v>
      </c>
      <c r="F9" s="4"/>
      <c r="G9" s="7" t="str">
        <f>VLOOKUP(K9,[1]Sheet1!$B:$F,5,0)</f>
        <v>https://schnell-s3-image.s3.ap-south-1.amazonaws.com/luminator/8f1ddfe0-cc38-11f0-b1e1-7f832b47a112.jpg</v>
      </c>
      <c r="H9" s="7" t="str">
        <f t="shared" si="0"/>
        <v>https://schnell-s3-image.s3.ap-south-1.amazonaws.com/luminator/8f1ddfe0-cc38-11f0-b1e1-7f832b47a112.jpg</v>
      </c>
      <c r="I9" s="5" t="s">
        <v>116</v>
      </c>
      <c r="J9" s="5">
        <v>21</v>
      </c>
      <c r="K9" s="5" t="s">
        <v>33</v>
      </c>
      <c r="L9" s="7" t="s">
        <v>182</v>
      </c>
      <c r="M9" s="7" t="str">
        <f t="shared" si="1"/>
        <v>https://schnell-s3-image.s3.ap-south-1.amazonaws.com/luminator/8ebccdc0-6870-11f1-8803-f382bb37a344.jpg</v>
      </c>
      <c r="N9" s="5" t="s">
        <v>208</v>
      </c>
      <c r="O9" s="6" t="s">
        <v>175</v>
      </c>
      <c r="P9" s="5">
        <v>13.0281799</v>
      </c>
      <c r="Q9" s="5">
        <v>77.601178599999997</v>
      </c>
      <c r="R9" s="4" t="s">
        <v>148</v>
      </c>
      <c r="S9" s="5">
        <v>11</v>
      </c>
      <c r="T9" s="5">
        <v>4</v>
      </c>
      <c r="U9" s="5">
        <v>0</v>
      </c>
      <c r="V9" s="5">
        <v>0</v>
      </c>
      <c r="W9" s="5">
        <v>0</v>
      </c>
      <c r="X9" s="5">
        <v>7</v>
      </c>
      <c r="Y9" s="3">
        <v>0</v>
      </c>
      <c r="Z9" s="3">
        <v>0</v>
      </c>
      <c r="AA9" s="3"/>
    </row>
    <row r="10" spans="1:27" x14ac:dyDescent="0.3">
      <c r="A10" s="5">
        <v>8</v>
      </c>
      <c r="B10" s="6">
        <v>3</v>
      </c>
      <c r="C10" s="5"/>
      <c r="D10" s="5" t="s">
        <v>63</v>
      </c>
      <c r="E10" s="5" t="s">
        <v>90</v>
      </c>
      <c r="F10" s="4"/>
      <c r="G10" s="7" t="str">
        <f>VLOOKUP(K10,[1]Sheet1!$B:$F,5,0)</f>
        <v>https://schnell-s3-image.s3.ap-south-1.amazonaws.com/luminator/f4760b50-c1df-11f0-99e7-83a150d087f9.jpg</v>
      </c>
      <c r="H10" s="7" t="str">
        <f t="shared" si="0"/>
        <v>https://schnell-s3-image.s3.ap-south-1.amazonaws.com/luminator/f4760b50-c1df-11f0-99e7-83a150d087f9.jpg</v>
      </c>
      <c r="I10" s="5" t="s">
        <v>117</v>
      </c>
      <c r="J10" s="5">
        <v>24</v>
      </c>
      <c r="K10" s="5" t="s">
        <v>34</v>
      </c>
      <c r="L10" s="7" t="s">
        <v>183</v>
      </c>
      <c r="M10" s="7" t="str">
        <f t="shared" si="1"/>
        <v>https://schnell-s3-image.s3.ap-south-1.amazonaws.com/luminator/e05d14d0-6705-11f1-8ee1-cda3e5436ace.jpg</v>
      </c>
      <c r="N10" s="5" t="s">
        <v>208</v>
      </c>
      <c r="O10" s="6" t="s">
        <v>174</v>
      </c>
      <c r="P10" s="5">
        <v>13.028855099999999</v>
      </c>
      <c r="Q10" s="5">
        <v>77.604432500000001</v>
      </c>
      <c r="R10" s="4" t="s">
        <v>149</v>
      </c>
      <c r="S10" s="5">
        <v>13</v>
      </c>
      <c r="T10" s="5">
        <v>2</v>
      </c>
      <c r="U10" s="5">
        <v>0</v>
      </c>
      <c r="V10" s="5">
        <v>0</v>
      </c>
      <c r="W10" s="5">
        <v>0</v>
      </c>
      <c r="X10" s="5">
        <v>0</v>
      </c>
      <c r="Y10" s="3">
        <v>1</v>
      </c>
      <c r="Z10" s="3">
        <v>0</v>
      </c>
      <c r="AA10" s="3"/>
    </row>
    <row r="11" spans="1:27" x14ac:dyDescent="0.3">
      <c r="A11" s="5">
        <v>9</v>
      </c>
      <c r="B11" s="6">
        <v>188</v>
      </c>
      <c r="C11" s="5"/>
      <c r="D11" s="5" t="s">
        <v>64</v>
      </c>
      <c r="E11" s="5" t="s">
        <v>91</v>
      </c>
      <c r="F11" s="4"/>
      <c r="G11" s="7" t="str">
        <f>VLOOKUP(K11,[1]Sheet1!$B:$F,5,0)</f>
        <v>https://schnell-s3-image.s3.ap-south-1.amazonaws.com/luminator/d5c0ca40-c443-11f0-994b-3d7344313c72.jpg</v>
      </c>
      <c r="H11" s="7" t="str">
        <f t="shared" si="0"/>
        <v>https://schnell-s3-image.s3.ap-south-1.amazonaws.com/luminator/d5c0ca40-c443-11f0-994b-3d7344313c72.jpg</v>
      </c>
      <c r="I11" s="5" t="s">
        <v>118</v>
      </c>
      <c r="J11" s="5">
        <v>10</v>
      </c>
      <c r="K11" s="5" t="s">
        <v>35</v>
      </c>
      <c r="L11" s="7" t="s">
        <v>184</v>
      </c>
      <c r="M11" s="7" t="str">
        <f t="shared" si="1"/>
        <v>https://schnell-s3-image.s3.ap-south-1.amazonaws.com/luminator/f3db9690-6713-11f1-8ee1-cda3e5436ace.jpg</v>
      </c>
      <c r="N11" s="5" t="s">
        <v>208</v>
      </c>
      <c r="O11" s="6" t="s">
        <v>174</v>
      </c>
      <c r="P11" s="5">
        <v>13.0303682</v>
      </c>
      <c r="Q11" s="5">
        <v>77.602415399999998</v>
      </c>
      <c r="R11" s="4" t="s">
        <v>150</v>
      </c>
      <c r="S11" s="5">
        <v>20</v>
      </c>
      <c r="T11" s="5">
        <v>8</v>
      </c>
      <c r="U11" s="5">
        <v>2</v>
      </c>
      <c r="V11" s="5">
        <v>0</v>
      </c>
      <c r="W11" s="5">
        <v>0</v>
      </c>
      <c r="X11" s="5">
        <v>7</v>
      </c>
      <c r="Y11" s="3">
        <v>4</v>
      </c>
      <c r="Z11" s="3">
        <v>0</v>
      </c>
      <c r="AA11" s="3"/>
    </row>
    <row r="12" spans="1:27" x14ac:dyDescent="0.3">
      <c r="A12" s="5">
        <v>10</v>
      </c>
      <c r="B12" s="6">
        <v>188</v>
      </c>
      <c r="C12" s="5"/>
      <c r="D12" s="5" t="s">
        <v>65</v>
      </c>
      <c r="E12" s="5" t="s">
        <v>92</v>
      </c>
      <c r="F12" s="4"/>
      <c r="G12" s="7" t="str">
        <f>VLOOKUP(K12,[1]Sheet1!$B:$F,5,0)</f>
        <v>https://schnell-s3-image.s3.ap-south-1.amazonaws.com/luminator/487c8400-c446-11f0-994b-3d7344313c72.jpg</v>
      </c>
      <c r="H12" s="7" t="str">
        <f t="shared" si="0"/>
        <v>https://schnell-s3-image.s3.ap-south-1.amazonaws.com/luminator/487c8400-c446-11f0-994b-3d7344313c72.jpg</v>
      </c>
      <c r="I12" s="5" t="s">
        <v>119</v>
      </c>
      <c r="J12" s="5">
        <v>41</v>
      </c>
      <c r="K12" s="5" t="s">
        <v>36</v>
      </c>
      <c r="L12" s="7" t="s">
        <v>185</v>
      </c>
      <c r="M12" s="7" t="str">
        <f t="shared" si="1"/>
        <v>https://schnell-s3-image.s3.ap-south-1.amazonaws.com/luminator/ad183ae0-6710-11f1-8ee1-cda3e5436ace.jpg</v>
      </c>
      <c r="N12" s="5" t="s">
        <v>208</v>
      </c>
      <c r="O12" s="6" t="s">
        <v>174</v>
      </c>
      <c r="P12" s="5">
        <v>13.0300406</v>
      </c>
      <c r="Q12" s="5">
        <v>77.603326800000005</v>
      </c>
      <c r="R12" s="4" t="s">
        <v>151</v>
      </c>
      <c r="S12" s="5">
        <v>10</v>
      </c>
      <c r="T12" s="5">
        <v>12</v>
      </c>
      <c r="U12" s="5">
        <v>0</v>
      </c>
      <c r="V12" s="5">
        <v>0</v>
      </c>
      <c r="W12" s="5">
        <v>0</v>
      </c>
      <c r="X12" s="5">
        <v>0</v>
      </c>
      <c r="Y12" s="3">
        <v>1</v>
      </c>
      <c r="Z12" s="3">
        <v>0</v>
      </c>
      <c r="AA12" s="3"/>
    </row>
    <row r="13" spans="1:27" x14ac:dyDescent="0.3">
      <c r="A13" s="5">
        <v>11</v>
      </c>
      <c r="B13" s="6">
        <v>44</v>
      </c>
      <c r="C13" s="5"/>
      <c r="D13" s="5" t="s">
        <v>66</v>
      </c>
      <c r="E13" s="5" t="s">
        <v>93</v>
      </c>
      <c r="F13" s="4"/>
      <c r="G13" s="7" t="str">
        <f>VLOOKUP(K13,[1]Sheet1!$B:$F,5,0)</f>
        <v>https://schnell-s3-image.s3.ap-south-1.amazonaws.com/luminator/5e656210-c2bf-11f0-98c9-8ddd41b252f7.jpg</v>
      </c>
      <c r="H13" s="7" t="str">
        <f t="shared" si="0"/>
        <v>https://schnell-s3-image.s3.ap-south-1.amazonaws.com/luminator/5e656210-c2bf-11f0-98c9-8ddd41b252f7.jpg</v>
      </c>
      <c r="I13" s="5" t="s">
        <v>120</v>
      </c>
      <c r="J13" s="5">
        <v>8</v>
      </c>
      <c r="K13" s="5" t="s">
        <v>37</v>
      </c>
      <c r="L13" s="7" t="s">
        <v>186</v>
      </c>
      <c r="M13" s="7" t="str">
        <f t="shared" si="1"/>
        <v>https://schnell-s3-image.s3.ap-south-1.amazonaws.com/luminator/d64f8120-66e3-11f1-8932-031d52a7577f.jpg</v>
      </c>
      <c r="N13" s="5" t="s">
        <v>208</v>
      </c>
      <c r="O13" s="6" t="s">
        <v>174</v>
      </c>
      <c r="P13" s="5">
        <v>13.029313399999999</v>
      </c>
      <c r="Q13" s="5">
        <v>77.604080400000001</v>
      </c>
      <c r="R13" s="4" t="s">
        <v>152</v>
      </c>
      <c r="S13" s="5">
        <v>7</v>
      </c>
      <c r="T13" s="5">
        <v>3</v>
      </c>
      <c r="U13" s="5">
        <v>0</v>
      </c>
      <c r="V13" s="5">
        <v>0</v>
      </c>
      <c r="W13" s="5">
        <v>0</v>
      </c>
      <c r="X13" s="5">
        <v>0</v>
      </c>
      <c r="Y13" s="3">
        <v>1</v>
      </c>
      <c r="Z13" s="3">
        <v>0</v>
      </c>
      <c r="AA13" s="3"/>
    </row>
    <row r="14" spans="1:27" x14ac:dyDescent="0.3">
      <c r="A14" s="5">
        <v>12</v>
      </c>
      <c r="B14" s="6">
        <v>2</v>
      </c>
      <c r="C14" s="5"/>
      <c r="D14" s="5" t="s">
        <v>67</v>
      </c>
      <c r="E14" s="5" t="s">
        <v>94</v>
      </c>
      <c r="F14" s="4"/>
      <c r="G14" s="7" t="str">
        <f>VLOOKUP(K14,[1]Sheet1!$B:$F,5,0)</f>
        <v>https://schnell-s3-image.s3.ap-south-1.amazonaws.com/luminator/05677db0-c2ab-11f0-b593-f1605702642a.jpg</v>
      </c>
      <c r="H14" s="7" t="str">
        <f t="shared" si="0"/>
        <v>https://schnell-s3-image.s3.ap-south-1.amazonaws.com/luminator/05677db0-c2ab-11f0-b593-f1605702642a.jpg</v>
      </c>
      <c r="I14" s="5" t="s">
        <v>121</v>
      </c>
      <c r="J14" s="5">
        <v>20</v>
      </c>
      <c r="K14" s="5" t="s">
        <v>38</v>
      </c>
      <c r="L14" s="7" t="s">
        <v>187</v>
      </c>
      <c r="M14" s="7" t="str">
        <f t="shared" si="1"/>
        <v>https://schnell-s3-image.s3.ap-south-1.amazonaws.com/luminator/245b94e0-66ed-11f1-a431-57a0b7c7a246.jpg</v>
      </c>
      <c r="N14" s="5" t="s">
        <v>208</v>
      </c>
      <c r="O14" s="6" t="s">
        <v>174</v>
      </c>
      <c r="P14" s="5">
        <v>13.0291727</v>
      </c>
      <c r="Q14" s="5">
        <v>77.601428499999997</v>
      </c>
      <c r="R14" s="4" t="s">
        <v>153</v>
      </c>
      <c r="S14" s="5">
        <v>6</v>
      </c>
      <c r="T14" s="5">
        <v>1</v>
      </c>
      <c r="U14" s="5">
        <v>0</v>
      </c>
      <c r="V14" s="5">
        <v>0</v>
      </c>
      <c r="W14" s="5">
        <v>0</v>
      </c>
      <c r="X14" s="5">
        <v>1</v>
      </c>
      <c r="Y14" s="3">
        <v>0</v>
      </c>
      <c r="Z14" s="3">
        <v>0</v>
      </c>
      <c r="AA14" s="3"/>
    </row>
    <row r="15" spans="1:27" x14ac:dyDescent="0.3">
      <c r="A15" s="5">
        <v>13</v>
      </c>
      <c r="B15" s="6">
        <v>56</v>
      </c>
      <c r="C15" s="5"/>
      <c r="D15" s="5" t="s">
        <v>68</v>
      </c>
      <c r="E15" s="5" t="s">
        <v>95</v>
      </c>
      <c r="F15" s="4"/>
      <c r="G15" s="7" t="str">
        <f>VLOOKUP(K15,[1]Sheet1!$B:$F,5,0)</f>
        <v>https://schnell-s3-image.s3.ap-south-1.amazonaws.com/luminator/5bd05150-c83b-11f0-a7f4-17587747100d.jpg</v>
      </c>
      <c r="H15" s="7" t="str">
        <f t="shared" si="0"/>
        <v>https://schnell-s3-image.s3.ap-south-1.amazonaws.com/luminator/5bd05150-c83b-11f0-a7f4-17587747100d.jpg</v>
      </c>
      <c r="I15" s="5" t="s">
        <v>122</v>
      </c>
      <c r="J15" s="5">
        <v>109</v>
      </c>
      <c r="K15" s="5" t="s">
        <v>39</v>
      </c>
      <c r="L15" s="7" t="s">
        <v>188</v>
      </c>
      <c r="M15" s="7" t="str">
        <f t="shared" si="1"/>
        <v>https://schnell-s3-image.s3.ap-south-1.amazonaws.com/luminator/e9440b30-6719-11f1-8ee1-cda3e5436ace.jpg</v>
      </c>
      <c r="N15" s="5" t="s">
        <v>208</v>
      </c>
      <c r="O15" s="6" t="s">
        <v>174</v>
      </c>
      <c r="P15" s="5">
        <v>13.030397199999999</v>
      </c>
      <c r="Q15" s="5">
        <v>77.606402000000003</v>
      </c>
      <c r="R15" s="4" t="s">
        <v>154</v>
      </c>
      <c r="S15" s="5">
        <v>7</v>
      </c>
      <c r="T15" s="5">
        <v>9</v>
      </c>
      <c r="U15" s="5">
        <v>0</v>
      </c>
      <c r="V15" s="5">
        <v>0</v>
      </c>
      <c r="W15" s="5">
        <v>0</v>
      </c>
      <c r="X15" s="5">
        <v>0</v>
      </c>
      <c r="Y15" s="3">
        <v>4</v>
      </c>
      <c r="Z15" s="3">
        <v>0</v>
      </c>
      <c r="AA15" s="3"/>
    </row>
    <row r="16" spans="1:27" x14ac:dyDescent="0.3">
      <c r="A16" s="5">
        <v>14</v>
      </c>
      <c r="B16" s="6">
        <v>1</v>
      </c>
      <c r="C16" s="5"/>
      <c r="D16" s="5" t="s">
        <v>69</v>
      </c>
      <c r="E16" s="5" t="s">
        <v>96</v>
      </c>
      <c r="F16" s="4"/>
      <c r="G16" s="7" t="str">
        <f>VLOOKUP(K16,[1]Sheet1!$B:$F,5,0)</f>
        <v>https://schnell-s3-image.s3.ap-south-1.amazonaws.com/luminator/395bfd00-c1fa-11f0-93d5-dfd29a6b3403.jpg</v>
      </c>
      <c r="H16" s="7" t="str">
        <f t="shared" si="0"/>
        <v>https://schnell-s3-image.s3.ap-south-1.amazonaws.com/luminator/395bfd00-c1fa-11f0-93d5-dfd29a6b3403.jpg</v>
      </c>
      <c r="I16" s="5" t="s">
        <v>123</v>
      </c>
      <c r="J16" s="5">
        <v>11</v>
      </c>
      <c r="K16" s="5" t="s">
        <v>40</v>
      </c>
      <c r="L16" s="7" t="s">
        <v>189</v>
      </c>
      <c r="M16" s="7" t="str">
        <f t="shared" si="1"/>
        <v>https://schnell-s3-image.s3.ap-south-1.amazonaws.com/luminator/e9809110-66ef-11f1-a431-57a0b7c7a246.jpg</v>
      </c>
      <c r="N16" s="5" t="s">
        <v>208</v>
      </c>
      <c r="O16" s="6" t="s">
        <v>175</v>
      </c>
      <c r="P16" s="5">
        <v>13.0288705</v>
      </c>
      <c r="Q16" s="5">
        <v>77.601388499999999</v>
      </c>
      <c r="R16" s="4" t="s">
        <v>155</v>
      </c>
      <c r="S16" s="5">
        <v>17</v>
      </c>
      <c r="T16" s="5">
        <v>3</v>
      </c>
      <c r="U16" s="5">
        <v>0</v>
      </c>
      <c r="V16" s="5">
        <v>0</v>
      </c>
      <c r="W16" s="5">
        <v>0</v>
      </c>
      <c r="X16" s="5">
        <v>5</v>
      </c>
      <c r="Y16" s="3">
        <v>2</v>
      </c>
      <c r="Z16" s="3">
        <v>0</v>
      </c>
      <c r="AA16" s="3"/>
    </row>
    <row r="17" spans="1:27" x14ac:dyDescent="0.3">
      <c r="A17" s="5">
        <v>15</v>
      </c>
      <c r="B17" s="6">
        <v>263</v>
      </c>
      <c r="C17" s="5"/>
      <c r="D17" s="5" t="s">
        <v>70</v>
      </c>
      <c r="E17" s="5" t="s">
        <v>97</v>
      </c>
      <c r="F17" s="4"/>
      <c r="G17" s="7" t="str">
        <f>VLOOKUP(K17,[1]Sheet1!$B:$F,5,0)</f>
        <v>https://schnell-s3-image.s3.ap-south-1.amazonaws.com/luminator/aaf50ab0-08b3-11f1-b534-cfb659e609b4.jpg</v>
      </c>
      <c r="H17" s="7" t="str">
        <f t="shared" si="0"/>
        <v>https://schnell-s3-image.s3.ap-south-1.amazonaws.com/luminator/aaf50ab0-08b3-11f1-b534-cfb659e609b4.jpg</v>
      </c>
      <c r="I17" s="5" t="s">
        <v>124</v>
      </c>
      <c r="J17" s="5">
        <v>6</v>
      </c>
      <c r="K17" s="5" t="s">
        <v>41</v>
      </c>
      <c r="L17" s="7" t="s">
        <v>190</v>
      </c>
      <c r="M17" s="7" t="str">
        <f t="shared" si="1"/>
        <v>https://schnell-s3-image.s3.ap-south-1.amazonaws.com/luminator/724c25d0-6700-11f1-8ee1-cda3e5436ace.jpg</v>
      </c>
      <c r="N17" s="5" t="s">
        <v>208</v>
      </c>
      <c r="O17" s="6" t="s">
        <v>174</v>
      </c>
      <c r="P17" s="5">
        <v>13.028476700000001</v>
      </c>
      <c r="Q17" s="5">
        <v>77.604566300000002</v>
      </c>
      <c r="R17" s="4" t="s">
        <v>156</v>
      </c>
      <c r="S17" s="5">
        <v>19</v>
      </c>
      <c r="T17" s="5">
        <v>6</v>
      </c>
      <c r="U17" s="5">
        <v>0</v>
      </c>
      <c r="V17" s="5">
        <v>0</v>
      </c>
      <c r="W17" s="5">
        <v>0</v>
      </c>
      <c r="X17" s="5">
        <v>3</v>
      </c>
      <c r="Y17" s="3">
        <v>0</v>
      </c>
      <c r="Z17" s="3">
        <v>0</v>
      </c>
      <c r="AA17" s="3"/>
    </row>
    <row r="18" spans="1:27" x14ac:dyDescent="0.3">
      <c r="A18" s="5">
        <v>16</v>
      </c>
      <c r="B18" s="6">
        <v>28</v>
      </c>
      <c r="C18" s="5"/>
      <c r="D18" s="5" t="s">
        <v>59</v>
      </c>
      <c r="E18" s="5" t="s">
        <v>98</v>
      </c>
      <c r="F18" s="4"/>
      <c r="G18" s="7" t="str">
        <f>VLOOKUP(K18,[1]Sheet1!$B:$F,5,0)</f>
        <v>https://schnell-s3-image.s3.ap-south-1.amazonaws.com/luminator/a53c4a00-c1f7-11f0-93d5-dfd29a6b3403.jpg</v>
      </c>
      <c r="H18" s="7" t="str">
        <f t="shared" si="0"/>
        <v>https://schnell-s3-image.s3.ap-south-1.amazonaws.com/luminator/a53c4a00-c1f7-11f0-93d5-dfd29a6b3403.jpg</v>
      </c>
      <c r="I18" s="5" t="s">
        <v>125</v>
      </c>
      <c r="J18" s="5">
        <v>38</v>
      </c>
      <c r="K18" s="5" t="s">
        <v>42</v>
      </c>
      <c r="L18" s="7" t="s">
        <v>191</v>
      </c>
      <c r="M18" s="7" t="str">
        <f t="shared" si="1"/>
        <v>https://schnell-s3-image.s3.ap-south-1.amazonaws.com/luminator/c0962870-6873-11f1-8803-f382bb37a344.jpg</v>
      </c>
      <c r="N18" s="5" t="s">
        <v>208</v>
      </c>
      <c r="O18" s="6" t="s">
        <v>174</v>
      </c>
      <c r="P18" s="5">
        <v>13.0277782</v>
      </c>
      <c r="Q18" s="5">
        <v>77.604390600000002</v>
      </c>
      <c r="R18" s="4" t="s">
        <v>157</v>
      </c>
      <c r="S18" s="5">
        <v>12</v>
      </c>
      <c r="T18" s="5">
        <v>3</v>
      </c>
      <c r="U18" s="5">
        <v>0</v>
      </c>
      <c r="V18" s="5">
        <v>0</v>
      </c>
      <c r="W18" s="5">
        <v>0</v>
      </c>
      <c r="X18" s="5">
        <v>6</v>
      </c>
      <c r="Y18" s="3">
        <v>3</v>
      </c>
      <c r="Z18" s="3">
        <v>0</v>
      </c>
      <c r="AA18" s="3"/>
    </row>
    <row r="19" spans="1:27" x14ac:dyDescent="0.3">
      <c r="A19" s="5">
        <v>17</v>
      </c>
      <c r="B19" s="6">
        <v>279</v>
      </c>
      <c r="C19" s="5"/>
      <c r="D19" s="5" t="s">
        <v>71</v>
      </c>
      <c r="E19" s="5">
        <v>53179689</v>
      </c>
      <c r="F19" s="4"/>
      <c r="G19" s="7" t="str">
        <f>VLOOKUP(K19,[1]Sheet1!$B:$F,5,0)</f>
        <v>https://schnell-s3-image.s3.ap-south-1.amazonaws.com/luminator/3217eab0-c2b6-11f0-9096-ff425a9ee05d.jpg</v>
      </c>
      <c r="H19" s="7" t="str">
        <f t="shared" si="0"/>
        <v>https://schnell-s3-image.s3.ap-south-1.amazonaws.com/luminator/3217eab0-c2b6-11f0-9096-ff425a9ee05d.jpg</v>
      </c>
      <c r="I19" s="5" t="s">
        <v>126</v>
      </c>
      <c r="J19" s="5">
        <v>3</v>
      </c>
      <c r="K19" s="5" t="s">
        <v>43</v>
      </c>
      <c r="L19" s="7" t="s">
        <v>192</v>
      </c>
      <c r="M19" s="7" t="str">
        <f t="shared" si="1"/>
        <v>https://schnell-s3-image.s3.ap-south-1.amazonaws.com/luminator/11857100-66f3-11f1-a431-57a0b7c7a246.jpg</v>
      </c>
      <c r="N19" s="5" t="s">
        <v>208</v>
      </c>
      <c r="O19" s="6" t="s">
        <v>174</v>
      </c>
      <c r="P19" s="5">
        <v>13.029526300000001</v>
      </c>
      <c r="Q19" s="5">
        <v>77.601582699999994</v>
      </c>
      <c r="R19" s="4" t="s">
        <v>158</v>
      </c>
      <c r="S19" s="5">
        <v>17</v>
      </c>
      <c r="T19" s="5">
        <v>7</v>
      </c>
      <c r="U19" s="5">
        <v>0</v>
      </c>
      <c r="V19" s="5">
        <v>0</v>
      </c>
      <c r="W19" s="5">
        <v>0</v>
      </c>
      <c r="X19" s="5">
        <v>2</v>
      </c>
      <c r="Y19" s="3">
        <v>2</v>
      </c>
      <c r="Z19" s="3">
        <v>0</v>
      </c>
      <c r="AA19" s="3"/>
    </row>
    <row r="20" spans="1:27" x14ac:dyDescent="0.3">
      <c r="A20" s="5">
        <v>18</v>
      </c>
      <c r="B20" s="6">
        <v>3</v>
      </c>
      <c r="C20" s="5"/>
      <c r="D20" s="5" t="s">
        <v>72</v>
      </c>
      <c r="E20" s="5">
        <v>53032239</v>
      </c>
      <c r="F20" s="4"/>
      <c r="G20" s="7" t="str">
        <f>VLOOKUP(K20,[1]Sheet1!$B:$F,5,0)</f>
        <v>https://schnell-s3-image.s3.ap-south-1.amazonaws.com/luminator/0467b670-c1e6-11f0-a7f3-3fbf68a2e748.jpg</v>
      </c>
      <c r="H20" s="7" t="str">
        <f t="shared" si="0"/>
        <v>https://schnell-s3-image.s3.ap-south-1.amazonaws.com/luminator/0467b670-c1e6-11f0-a7f3-3fbf68a2e748.jpg</v>
      </c>
      <c r="I20" s="5" t="s">
        <v>127</v>
      </c>
      <c r="J20" s="5">
        <v>44</v>
      </c>
      <c r="K20" s="5" t="s">
        <v>44</v>
      </c>
      <c r="L20" s="7" t="s">
        <v>193</v>
      </c>
      <c r="M20" s="7" t="str">
        <f t="shared" si="1"/>
        <v>https://schnell-s3-image.s3.ap-south-1.amazonaws.com/luminator/86ba6b50-66f9-11f1-8ee1-cda3e5436ace.jpg</v>
      </c>
      <c r="N20" s="5" t="s">
        <v>208</v>
      </c>
      <c r="O20" s="6" t="s">
        <v>174</v>
      </c>
      <c r="P20" s="5">
        <v>13.029219100000001</v>
      </c>
      <c r="Q20" s="5">
        <v>77.601670400000003</v>
      </c>
      <c r="R20" s="4" t="s">
        <v>159</v>
      </c>
      <c r="S20" s="5">
        <v>13</v>
      </c>
      <c r="T20" s="5">
        <v>3</v>
      </c>
      <c r="U20" s="5">
        <v>0</v>
      </c>
      <c r="V20" s="5">
        <v>0</v>
      </c>
      <c r="W20" s="5">
        <v>0</v>
      </c>
      <c r="X20" s="5">
        <v>0</v>
      </c>
      <c r="Y20" s="3">
        <v>2</v>
      </c>
      <c r="Z20" s="3">
        <v>0</v>
      </c>
      <c r="AA20" s="3"/>
    </row>
    <row r="21" spans="1:27" x14ac:dyDescent="0.3">
      <c r="A21" s="5">
        <v>19</v>
      </c>
      <c r="B21" s="6">
        <v>2</v>
      </c>
      <c r="C21" s="5"/>
      <c r="D21" s="5" t="s">
        <v>73</v>
      </c>
      <c r="E21" s="5" t="s">
        <v>99</v>
      </c>
      <c r="F21" s="4"/>
      <c r="G21" s="7" t="str">
        <f>VLOOKUP(K21,[1]Sheet1!$B:$F,5,0)</f>
        <v>https://schnell-s3-image.s3.ap-south-1.amazonaws.com/luminator/62f7ef20-c1e6-11f0-a7f3-3fbf68a2e748.jpg</v>
      </c>
      <c r="H21" s="7" t="str">
        <f t="shared" si="0"/>
        <v>https://schnell-s3-image.s3.ap-south-1.amazonaws.com/luminator/62f7ef20-c1e6-11f0-a7f3-3fbf68a2e748.jpg</v>
      </c>
      <c r="I21" s="5" t="s">
        <v>128</v>
      </c>
      <c r="J21" s="5">
        <v>14</v>
      </c>
      <c r="K21" s="5" t="s">
        <v>45</v>
      </c>
      <c r="L21" s="7" t="s">
        <v>194</v>
      </c>
      <c r="M21" s="7" t="str">
        <f t="shared" si="1"/>
        <v>https://schnell-s3-image.s3.ap-south-1.amazonaws.com/luminator/c619df70-66ee-11f1-a431-57a0b7c7a246.jpg</v>
      </c>
      <c r="N21" s="5" t="s">
        <v>208</v>
      </c>
      <c r="O21" s="6" t="s">
        <v>174</v>
      </c>
      <c r="P21" s="5">
        <v>13.0290078</v>
      </c>
      <c r="Q21" s="5">
        <v>77.601421400000007</v>
      </c>
      <c r="R21" s="4" t="s">
        <v>160</v>
      </c>
      <c r="S21" s="5">
        <v>11</v>
      </c>
      <c r="T21" s="5">
        <v>0</v>
      </c>
      <c r="U21" s="5">
        <v>0</v>
      </c>
      <c r="V21" s="5">
        <v>0</v>
      </c>
      <c r="W21" s="5">
        <v>0</v>
      </c>
      <c r="X21" s="5">
        <v>6</v>
      </c>
      <c r="Y21" s="3">
        <v>0</v>
      </c>
      <c r="Z21" s="3">
        <v>0</v>
      </c>
      <c r="AA21" s="3"/>
    </row>
    <row r="22" spans="1:27" x14ac:dyDescent="0.3">
      <c r="A22" s="5">
        <v>20</v>
      </c>
      <c r="B22" s="6">
        <v>588</v>
      </c>
      <c r="C22" s="5"/>
      <c r="D22" s="5">
        <v>279</v>
      </c>
      <c r="E22" s="5" t="s">
        <v>100</v>
      </c>
      <c r="F22" s="4"/>
      <c r="G22" s="7" t="str">
        <f>VLOOKUP(K22,[1]Sheet1!$B:$F,5,0)</f>
        <v>https://schnell-s3-image.s3.ap-south-1.amazonaws.com/luminator/28269c50-c2ba-11f0-9096-ff425a9ee05d.jpg</v>
      </c>
      <c r="H22" s="7" t="str">
        <f t="shared" si="0"/>
        <v>https://schnell-s3-image.s3.ap-south-1.amazonaws.com/luminator/28269c50-c2ba-11f0-9096-ff425a9ee05d.jpg</v>
      </c>
      <c r="I22" s="5" t="s">
        <v>129</v>
      </c>
      <c r="J22" s="5">
        <v>8</v>
      </c>
      <c r="K22" s="5" t="s">
        <v>46</v>
      </c>
      <c r="L22" s="7" t="s">
        <v>195</v>
      </c>
      <c r="M22" s="7" t="str">
        <f t="shared" si="1"/>
        <v>https://schnell-s3-image.s3.ap-south-1.amazonaws.com/luminator/e26769f0-66e8-11f1-a431-57a0b7c7a246.jpg</v>
      </c>
      <c r="N22" s="5" t="s">
        <v>208</v>
      </c>
      <c r="O22" s="6" t="s">
        <v>174</v>
      </c>
      <c r="P22" s="5">
        <v>13.0300777</v>
      </c>
      <c r="Q22" s="5">
        <v>77.601770700000003</v>
      </c>
      <c r="R22" s="4" t="s">
        <v>161</v>
      </c>
      <c r="S22" s="5">
        <v>11</v>
      </c>
      <c r="T22" s="5">
        <v>7</v>
      </c>
      <c r="U22" s="5">
        <v>1</v>
      </c>
      <c r="V22" s="5">
        <v>0</v>
      </c>
      <c r="W22" s="5">
        <v>0</v>
      </c>
      <c r="X22" s="5">
        <v>5</v>
      </c>
      <c r="Y22" s="3">
        <v>4</v>
      </c>
      <c r="Z22" s="3">
        <v>0</v>
      </c>
      <c r="AA22" s="3"/>
    </row>
    <row r="23" spans="1:27" x14ac:dyDescent="0.3">
      <c r="A23" s="5">
        <v>21</v>
      </c>
      <c r="B23" s="6">
        <v>68</v>
      </c>
      <c r="C23" s="5"/>
      <c r="D23" s="5" t="s">
        <v>74</v>
      </c>
      <c r="E23" s="5" t="s">
        <v>101</v>
      </c>
      <c r="F23" s="4"/>
      <c r="G23" s="7" t="str">
        <f>VLOOKUP(K23,[1]Sheet1!$B:$F,5,0)</f>
        <v>https://schnell-s3-image.s3.ap-south-1.amazonaws.com/luminator/0259e6f0-caab-11f0-950a-bfc97282def0.jpg</v>
      </c>
      <c r="H23" s="7" t="str">
        <f t="shared" si="0"/>
        <v>https://schnell-s3-image.s3.ap-south-1.amazonaws.com/luminator/0259e6f0-caab-11f0-950a-bfc97282def0.jpg</v>
      </c>
      <c r="I23" s="5" t="s">
        <v>130</v>
      </c>
      <c r="J23" s="5">
        <v>7</v>
      </c>
      <c r="K23" s="5" t="s">
        <v>47</v>
      </c>
      <c r="L23" s="7" t="s">
        <v>196</v>
      </c>
      <c r="M23" s="7" t="str">
        <f t="shared" si="1"/>
        <v>https://schnell-s3-image.s3.ap-south-1.amazonaws.com/luminator/2ff4a840-6888-11f1-8803-f382bb37a344.jpg</v>
      </c>
      <c r="N23" s="5" t="s">
        <v>208</v>
      </c>
      <c r="O23" s="6" t="s">
        <v>174</v>
      </c>
      <c r="P23" s="5">
        <v>13.0317866</v>
      </c>
      <c r="Q23" s="5">
        <v>77.607089099999996</v>
      </c>
      <c r="R23" s="4" t="s">
        <v>162</v>
      </c>
      <c r="S23" s="5">
        <v>11</v>
      </c>
      <c r="T23" s="5">
        <v>5</v>
      </c>
      <c r="U23" s="5">
        <v>0</v>
      </c>
      <c r="V23" s="5">
        <v>0</v>
      </c>
      <c r="W23" s="5">
        <v>0</v>
      </c>
      <c r="X23" s="5">
        <v>8</v>
      </c>
      <c r="Y23" s="3">
        <v>0</v>
      </c>
      <c r="Z23" s="3">
        <v>0</v>
      </c>
      <c r="AA23" s="3"/>
    </row>
    <row r="24" spans="1:27" x14ac:dyDescent="0.3">
      <c r="A24" s="5">
        <v>22</v>
      </c>
      <c r="B24" s="6">
        <v>290</v>
      </c>
      <c r="C24" s="5"/>
      <c r="D24" s="5" t="s">
        <v>75</v>
      </c>
      <c r="E24" s="5" t="s">
        <v>102</v>
      </c>
      <c r="F24" s="4"/>
      <c r="G24" s="7" t="str">
        <f>VLOOKUP(K24,[1]Sheet1!$B:$F,5,0)</f>
        <v>https://schnell-s3-image.s3.ap-south-1.amazonaws.com/luminator/e97301b0-ca9d-11f0-950a-bfc97282def0.jpg</v>
      </c>
      <c r="H24" s="7" t="str">
        <f t="shared" si="0"/>
        <v>https://schnell-s3-image.s3.ap-south-1.amazonaws.com/luminator/e97301b0-ca9d-11f0-950a-bfc97282def0.jpg</v>
      </c>
      <c r="I24" s="5" t="s">
        <v>131</v>
      </c>
      <c r="J24" s="5">
        <v>10</v>
      </c>
      <c r="K24" s="5" t="s">
        <v>48</v>
      </c>
      <c r="L24" s="7" t="s">
        <v>197</v>
      </c>
      <c r="M24" s="7" t="str">
        <f t="shared" si="1"/>
        <v>https://schnell-s3-image.s3.ap-south-1.amazonaws.com/luminator/d76948e0-6880-11f1-8803-f382bb37a344.jpg</v>
      </c>
      <c r="N24" s="5" t="s">
        <v>208</v>
      </c>
      <c r="O24" s="6" t="s">
        <v>174</v>
      </c>
      <c r="P24" s="5">
        <v>13.0312506</v>
      </c>
      <c r="Q24" s="5">
        <v>77.606294300000002</v>
      </c>
      <c r="R24" s="4" t="s">
        <v>163</v>
      </c>
      <c r="S24" s="5">
        <v>13</v>
      </c>
      <c r="T24" s="5">
        <v>8</v>
      </c>
      <c r="U24" s="5">
        <v>0</v>
      </c>
      <c r="V24" s="5">
        <v>0</v>
      </c>
      <c r="W24" s="5">
        <v>0</v>
      </c>
      <c r="X24" s="5">
        <v>6</v>
      </c>
      <c r="Y24" s="3">
        <v>5</v>
      </c>
      <c r="Z24" s="3">
        <v>0</v>
      </c>
      <c r="AA24" s="3"/>
    </row>
    <row r="25" spans="1:27" x14ac:dyDescent="0.3">
      <c r="A25" s="5">
        <v>23</v>
      </c>
      <c r="B25" s="6">
        <v>92</v>
      </c>
      <c r="C25" s="5"/>
      <c r="D25" s="5" t="s">
        <v>76</v>
      </c>
      <c r="E25" s="5" t="s">
        <v>103</v>
      </c>
      <c r="F25" s="4"/>
      <c r="G25" s="7" t="str">
        <f>VLOOKUP(K25,[1]Sheet1!$B:$F,5,0)</f>
        <v>https://schnell-s3-image.s3.ap-south-1.amazonaws.com/luminator/0622dc30-c842-11f0-a7f4-17587747100d.jpg</v>
      </c>
      <c r="H25" s="7" t="str">
        <f t="shared" si="0"/>
        <v>https://schnell-s3-image.s3.ap-south-1.amazonaws.com/luminator/0622dc30-c842-11f0-a7f4-17587747100d.jpg</v>
      </c>
      <c r="I25" s="5" t="s">
        <v>132</v>
      </c>
      <c r="J25" s="5">
        <v>8</v>
      </c>
      <c r="K25" s="5" t="s">
        <v>49</v>
      </c>
      <c r="L25" s="7" t="s">
        <v>198</v>
      </c>
      <c r="M25" s="7" t="str">
        <f t="shared" si="1"/>
        <v>https://schnell-s3-image.s3.ap-south-1.amazonaws.com/luminator/1c331820-687c-11f1-8803-f382bb37a344.jpg</v>
      </c>
      <c r="N25" s="5" t="s">
        <v>208</v>
      </c>
      <c r="O25" s="6" t="s">
        <v>174</v>
      </c>
      <c r="P25" s="5">
        <v>13.030862900000001</v>
      </c>
      <c r="Q25" s="5">
        <v>77.607206599999998</v>
      </c>
      <c r="R25" s="4" t="s">
        <v>164</v>
      </c>
      <c r="S25" s="5">
        <v>8</v>
      </c>
      <c r="T25" s="5">
        <v>2</v>
      </c>
      <c r="U25" s="5">
        <v>0</v>
      </c>
      <c r="V25" s="5">
        <v>0</v>
      </c>
      <c r="W25" s="5">
        <v>0</v>
      </c>
      <c r="X25" s="5">
        <v>2</v>
      </c>
      <c r="Y25" s="3">
        <v>1</v>
      </c>
      <c r="Z25" s="3">
        <v>0</v>
      </c>
      <c r="AA25" s="3"/>
    </row>
    <row r="26" spans="1:27" x14ac:dyDescent="0.3">
      <c r="A26" s="5">
        <v>24</v>
      </c>
      <c r="B26" s="6">
        <v>92</v>
      </c>
      <c r="C26" s="5"/>
      <c r="D26" s="5">
        <v>290</v>
      </c>
      <c r="E26" s="5" t="s">
        <v>104</v>
      </c>
      <c r="F26" s="4"/>
      <c r="G26" s="7" t="str">
        <f>VLOOKUP(K26,[1]Sheet1!$B:$F,5,0)</f>
        <v>https://schnell-s3-image.s3.ap-south-1.amazonaws.com/luminator/868d3a70-c840-11f0-a7f4-17587747100d.jpg</v>
      </c>
      <c r="H26" s="7" t="str">
        <f t="shared" si="0"/>
        <v>https://schnell-s3-image.s3.ap-south-1.amazonaws.com/luminator/868d3a70-c840-11f0-a7f4-17587747100d.jpg</v>
      </c>
      <c r="I26" s="5" t="s">
        <v>133</v>
      </c>
      <c r="J26" s="5">
        <v>49</v>
      </c>
      <c r="K26" s="5" t="s">
        <v>50</v>
      </c>
      <c r="L26" s="7" t="s">
        <v>199</v>
      </c>
      <c r="M26" s="7" t="str">
        <f t="shared" si="1"/>
        <v>https://schnell-s3-image.s3.ap-south-1.amazonaws.com/luminator/a7bb1620-687e-11f1-8803-f382bb37a344.jpg</v>
      </c>
      <c r="N26" s="5" t="s">
        <v>208</v>
      </c>
      <c r="O26" s="6" t="s">
        <v>174</v>
      </c>
      <c r="P26" s="5">
        <v>13.0310244</v>
      </c>
      <c r="Q26" s="5">
        <v>77.606527900000003</v>
      </c>
      <c r="R26" s="4" t="s">
        <v>165</v>
      </c>
      <c r="S26" s="5">
        <v>6</v>
      </c>
      <c r="T26" s="5">
        <v>6</v>
      </c>
      <c r="U26" s="5">
        <v>0</v>
      </c>
      <c r="V26" s="5">
        <v>0</v>
      </c>
      <c r="W26" s="5">
        <v>0</v>
      </c>
      <c r="X26" s="5">
        <v>2</v>
      </c>
      <c r="Y26" s="3">
        <v>1</v>
      </c>
      <c r="Z26" s="3">
        <v>0</v>
      </c>
      <c r="AA26" s="3"/>
    </row>
    <row r="27" spans="1:27" x14ac:dyDescent="0.3">
      <c r="A27" s="5">
        <v>25</v>
      </c>
      <c r="B27" s="6">
        <v>474</v>
      </c>
      <c r="C27" s="5"/>
      <c r="D27" s="5" t="s">
        <v>77</v>
      </c>
      <c r="E27" s="5">
        <v>50311609</v>
      </c>
      <c r="F27" s="4"/>
      <c r="G27" s="7" t="str">
        <f>VLOOKUP(K27,[1]Sheet1!$B:$F,5,0)</f>
        <v>https://schnell-s3-image.s3.ap-south-1.amazonaws.com/luminator/5a2b9350-c50c-11f0-bba2-078c4d4d0dc7.jpg</v>
      </c>
      <c r="H27" s="7" t="str">
        <f t="shared" si="0"/>
        <v>https://schnell-s3-image.s3.ap-south-1.amazonaws.com/luminator/5a2b9350-c50c-11f0-bba2-078c4d4d0dc7.jpg</v>
      </c>
      <c r="I27" s="5" t="s">
        <v>134</v>
      </c>
      <c r="J27" s="5">
        <v>5</v>
      </c>
      <c r="K27" s="5" t="s">
        <v>51</v>
      </c>
      <c r="L27" s="7" t="s">
        <v>200</v>
      </c>
      <c r="M27" s="7" t="str">
        <f t="shared" si="1"/>
        <v>https://schnell-s3-image.s3.ap-south-1.amazonaws.com/luminator/a5675260-688f-11f1-9e6a-a36ec4abbd45.jpg</v>
      </c>
      <c r="N27" s="5" t="s">
        <v>208</v>
      </c>
      <c r="O27" s="6" t="s">
        <v>174</v>
      </c>
      <c r="P27" s="5">
        <v>13.033347600000001</v>
      </c>
      <c r="Q27" s="5">
        <v>77.6025317</v>
      </c>
      <c r="R27" s="4" t="s">
        <v>166</v>
      </c>
      <c r="S27" s="5">
        <v>3</v>
      </c>
      <c r="T27" s="5">
        <v>0</v>
      </c>
      <c r="U27" s="5">
        <v>0</v>
      </c>
      <c r="V27" s="5">
        <v>0</v>
      </c>
      <c r="W27" s="5">
        <v>0</v>
      </c>
      <c r="X27" s="5">
        <v>12</v>
      </c>
      <c r="Y27" s="3">
        <v>6</v>
      </c>
      <c r="Z27" s="3">
        <v>0</v>
      </c>
      <c r="AA27" s="3"/>
    </row>
    <row r="28" spans="1:27" x14ac:dyDescent="0.3">
      <c r="A28" s="5">
        <v>26</v>
      </c>
      <c r="B28" s="6">
        <v>221</v>
      </c>
      <c r="C28" s="5"/>
      <c r="D28" s="5" t="s">
        <v>59</v>
      </c>
      <c r="E28" s="5" t="s">
        <v>105</v>
      </c>
      <c r="F28" s="4"/>
      <c r="G28" s="7" t="str">
        <f>VLOOKUP(K28,[1]Sheet1!$B:$F,5,0)</f>
        <v>https://schnell-s3-image.s3.ap-south-1.amazonaws.com/luminator/62f7ef20-c1e6-11f0-a7f3-3fbf68a2e748.jpg</v>
      </c>
      <c r="H28" s="7" t="str">
        <f t="shared" si="0"/>
        <v>https://schnell-s3-image.s3.ap-south-1.amazonaws.com/luminator/62f7ef20-c1e6-11f0-a7f3-3fbf68a2e748.jpg</v>
      </c>
      <c r="I28" s="5" t="s">
        <v>135</v>
      </c>
      <c r="J28" s="5">
        <v>46</v>
      </c>
      <c r="K28" s="5" t="s">
        <v>52</v>
      </c>
      <c r="L28" s="7" t="s">
        <v>201</v>
      </c>
      <c r="M28" s="7" t="str">
        <f t="shared" si="1"/>
        <v>https://schnell-s3-image.s3.ap-south-1.amazonaws.com/luminator/3e1cedf0-68a2-11f1-ae38-bb74f814844d.jpg</v>
      </c>
      <c r="N28" s="5" t="s">
        <v>208</v>
      </c>
      <c r="O28" s="6" t="s">
        <v>174</v>
      </c>
      <c r="P28" s="5">
        <v>13.031522300000001</v>
      </c>
      <c r="Q28" s="5">
        <v>77.604783900000001</v>
      </c>
      <c r="R28" s="4" t="s">
        <v>167</v>
      </c>
      <c r="S28" s="5">
        <v>0</v>
      </c>
      <c r="T28" s="5">
        <v>9</v>
      </c>
      <c r="U28" s="5">
        <v>0</v>
      </c>
      <c r="V28" s="5">
        <v>0</v>
      </c>
      <c r="W28" s="5">
        <v>0</v>
      </c>
      <c r="X28" s="5">
        <v>0</v>
      </c>
      <c r="Y28" s="3">
        <v>0</v>
      </c>
      <c r="Z28" s="3">
        <v>0</v>
      </c>
      <c r="AA28" s="3"/>
    </row>
    <row r="29" spans="1:27" x14ac:dyDescent="0.3">
      <c r="A29" s="5">
        <v>27</v>
      </c>
      <c r="B29" s="6">
        <v>290</v>
      </c>
      <c r="C29" s="5"/>
      <c r="D29" s="5" t="s">
        <v>78</v>
      </c>
      <c r="E29" s="5" t="s">
        <v>106</v>
      </c>
      <c r="F29" s="4"/>
      <c r="G29" s="7" t="str">
        <f>VLOOKUP(K29,[1]Sheet1!$B:$F,5,0)</f>
        <v>https://schnell-s3-image.s3.ap-south-1.amazonaws.com/luminator/a445ce00-caa8-11f0-950a-bfc97282def0.jpg</v>
      </c>
      <c r="H29" s="7" t="str">
        <f t="shared" si="0"/>
        <v>https://schnell-s3-image.s3.ap-south-1.amazonaws.com/luminator/a445ce00-caa8-11f0-950a-bfc97282def0.jpg</v>
      </c>
      <c r="I29" s="5" t="s">
        <v>136</v>
      </c>
      <c r="J29" s="5">
        <v>42</v>
      </c>
      <c r="K29" s="5" t="s">
        <v>53</v>
      </c>
      <c r="L29" s="7" t="s">
        <v>202</v>
      </c>
      <c r="M29" s="7" t="str">
        <f t="shared" si="1"/>
        <v>https://schnell-s3-image.s3.ap-south-1.amazonaws.com/luminator/3df34180-6884-11f1-8803-f382bb37a344.jpg</v>
      </c>
      <c r="N29" s="5" t="s">
        <v>208</v>
      </c>
      <c r="O29" s="6" t="s">
        <v>174</v>
      </c>
      <c r="P29" s="5">
        <v>13.0318513</v>
      </c>
      <c r="Q29" s="5">
        <v>77.606604700000005</v>
      </c>
      <c r="R29" s="4" t="s">
        <v>168</v>
      </c>
      <c r="S29" s="5">
        <v>1</v>
      </c>
      <c r="T29" s="5">
        <v>6</v>
      </c>
      <c r="U29" s="5">
        <v>2</v>
      </c>
      <c r="V29" s="5">
        <v>0</v>
      </c>
      <c r="W29" s="5">
        <v>0</v>
      </c>
      <c r="X29" s="5">
        <v>2</v>
      </c>
      <c r="Y29" s="3">
        <v>2</v>
      </c>
      <c r="Z29" s="3">
        <v>0</v>
      </c>
      <c r="AA29" s="3"/>
    </row>
    <row r="30" spans="1:27" x14ac:dyDescent="0.3">
      <c r="A30" s="5">
        <v>28</v>
      </c>
      <c r="B30" s="6">
        <v>433</v>
      </c>
      <c r="C30" s="5"/>
      <c r="D30" s="5" t="s">
        <v>79</v>
      </c>
      <c r="E30" s="5">
        <v>50106177</v>
      </c>
      <c r="F30" s="4"/>
      <c r="G30" s="7" t="str">
        <f>VLOOKUP(K30,[1]Sheet1!$B:$F,5,0)</f>
        <v>https://schnell-s3-image.s3.ap-south-1.amazonaws.com/luminator/0f7357b0-c833-11f0-a7f4-17587747100d.jpg</v>
      </c>
      <c r="H30" s="7" t="str">
        <f t="shared" si="0"/>
        <v>https://schnell-s3-image.s3.ap-south-1.amazonaws.com/luminator/0f7357b0-c833-11f0-a7f4-17587747100d.jpg</v>
      </c>
      <c r="I30" s="5" t="s">
        <v>137</v>
      </c>
      <c r="J30" s="5">
        <v>5</v>
      </c>
      <c r="K30" s="5" t="s">
        <v>54</v>
      </c>
      <c r="L30" s="7" t="s">
        <v>203</v>
      </c>
      <c r="M30" s="7" t="str">
        <f t="shared" si="1"/>
        <v>https://schnell-s3-image.s3.ap-south-1.amazonaws.com/luminator/8597ac30-6878-11f1-8803-f382bb37a344.jpg</v>
      </c>
      <c r="N30" s="5" t="s">
        <v>208</v>
      </c>
      <c r="O30" s="6" t="s">
        <v>174</v>
      </c>
      <c r="P30" s="5">
        <v>13.0291996</v>
      </c>
      <c r="Q30" s="5">
        <v>77.605341999999993</v>
      </c>
      <c r="R30" s="4" t="s">
        <v>169</v>
      </c>
      <c r="S30" s="5">
        <v>27</v>
      </c>
      <c r="T30" s="5">
        <v>3</v>
      </c>
      <c r="U30" s="5">
        <v>0</v>
      </c>
      <c r="V30" s="5">
        <v>0</v>
      </c>
      <c r="W30" s="5">
        <v>0</v>
      </c>
      <c r="X30" s="5">
        <v>0</v>
      </c>
      <c r="Y30" s="3">
        <v>0</v>
      </c>
      <c r="Z30" s="3">
        <v>0</v>
      </c>
      <c r="AA30" s="3"/>
    </row>
    <row r="31" spans="1:27" x14ac:dyDescent="0.3">
      <c r="A31" s="5">
        <v>29</v>
      </c>
      <c r="B31" s="6">
        <v>71</v>
      </c>
      <c r="C31" s="5"/>
      <c r="D31" s="5" t="s">
        <v>80</v>
      </c>
      <c r="E31" s="5" t="s">
        <v>107</v>
      </c>
      <c r="F31" s="4"/>
      <c r="G31" s="7" t="str">
        <f>VLOOKUP(K31,[1]Sheet1!$B:$F,5,0)</f>
        <v>https://schnell-s3-image.s3.ap-south-1.amazonaws.com/luminator/d8a46540-cab1-11f0-950a-bfc97282def0.jpg</v>
      </c>
      <c r="H31" s="7" t="str">
        <f t="shared" si="0"/>
        <v>https://schnell-s3-image.s3.ap-south-1.amazonaws.com/luminator/d8a46540-cab1-11f0-950a-bfc97282def0.jpg</v>
      </c>
      <c r="I31" s="5" t="s">
        <v>138</v>
      </c>
      <c r="J31" s="5">
        <v>5</v>
      </c>
      <c r="K31" s="5" t="s">
        <v>55</v>
      </c>
      <c r="L31" s="7" t="s">
        <v>204</v>
      </c>
      <c r="M31" s="7" t="str">
        <f t="shared" si="1"/>
        <v>https://schnell-s3-image.s3.ap-south-1.amazonaws.com/luminator/f9240b50-6899-11f1-9e6a-a36ec4abbd45.jpg</v>
      </c>
      <c r="N31" s="5" t="s">
        <v>208</v>
      </c>
      <c r="O31" s="6" t="s">
        <v>174</v>
      </c>
      <c r="P31" s="5">
        <v>13.0320947</v>
      </c>
      <c r="Q31" s="5">
        <v>77.605512599999997</v>
      </c>
      <c r="R31" s="4" t="s">
        <v>170</v>
      </c>
      <c r="S31" s="5">
        <v>6</v>
      </c>
      <c r="T31" s="5">
        <v>1</v>
      </c>
      <c r="U31" s="5">
        <v>0</v>
      </c>
      <c r="V31" s="5">
        <v>0</v>
      </c>
      <c r="W31" s="5">
        <v>0</v>
      </c>
      <c r="X31" s="5">
        <v>1</v>
      </c>
      <c r="Y31" s="3">
        <v>0</v>
      </c>
      <c r="Z31" s="3">
        <v>0</v>
      </c>
      <c r="AA31" s="3"/>
    </row>
    <row r="32" spans="1:27" x14ac:dyDescent="0.3">
      <c r="A32" s="5">
        <v>30</v>
      </c>
      <c r="B32" s="6">
        <v>75</v>
      </c>
      <c r="C32" s="5"/>
      <c r="D32" s="5">
        <v>75</v>
      </c>
      <c r="E32" s="5" t="s">
        <v>108</v>
      </c>
      <c r="F32" s="4"/>
      <c r="G32" s="7" t="str">
        <f>VLOOKUP(K32,[1]Sheet1!$B:$F,5,0)</f>
        <v>https://schnell-s3-image.s3.ap-south-1.amazonaws.com/luminator/cf523800-c45d-11f0-a0ff-9382c4042493.jpg</v>
      </c>
      <c r="H32" s="7" t="str">
        <f t="shared" si="0"/>
        <v>https://schnell-s3-image.s3.ap-south-1.amazonaws.com/luminator/cf523800-c45d-11f0-a0ff-9382c4042493.jpg</v>
      </c>
      <c r="I32" s="5" t="s">
        <v>139</v>
      </c>
      <c r="J32" s="5">
        <v>12</v>
      </c>
      <c r="K32" s="5" t="s">
        <v>56</v>
      </c>
      <c r="L32" s="7" t="s">
        <v>205</v>
      </c>
      <c r="M32" s="7" t="str">
        <f t="shared" si="1"/>
        <v>https://schnell-s3-image.s3.ap-south-1.amazonaws.com/luminator/155d0920-68a4-11f1-ae38-bb74f814844d.jpg</v>
      </c>
      <c r="N32" s="5" t="s">
        <v>208</v>
      </c>
      <c r="O32" s="6" t="s">
        <v>174</v>
      </c>
      <c r="P32" s="5">
        <v>13.0326547</v>
      </c>
      <c r="Q32" s="5">
        <v>77.601523799999995</v>
      </c>
      <c r="R32" s="4" t="s">
        <v>171</v>
      </c>
      <c r="S32" s="5">
        <v>13</v>
      </c>
      <c r="T32" s="5">
        <v>3</v>
      </c>
      <c r="U32" s="5">
        <v>0</v>
      </c>
      <c r="V32" s="5">
        <v>0</v>
      </c>
      <c r="W32" s="5">
        <v>0</v>
      </c>
      <c r="X32" s="5">
        <v>20</v>
      </c>
      <c r="Y32" s="3">
        <v>1</v>
      </c>
      <c r="Z32" s="3">
        <v>0</v>
      </c>
      <c r="AA32" s="3"/>
    </row>
    <row r="33" spans="1:27" x14ac:dyDescent="0.3">
      <c r="A33" s="5">
        <v>31</v>
      </c>
      <c r="B33" s="6">
        <v>71</v>
      </c>
      <c r="C33" s="5"/>
      <c r="D33" s="5" t="s">
        <v>81</v>
      </c>
      <c r="E33" s="5" t="s">
        <v>109</v>
      </c>
      <c r="F33" s="4"/>
      <c r="G33" s="7" t="str">
        <f>VLOOKUP(K33,[1]Sheet1!$B:$F,5,0)</f>
        <v>https://schnell-s3-image.s3.ap-south-1.amazonaws.com/luminator/70e862f0-c906-11f0-84e9-d3326039e868.jpg</v>
      </c>
      <c r="H33" s="7" t="str">
        <f t="shared" si="0"/>
        <v>https://schnell-s3-image.s3.ap-south-1.amazonaws.com/luminator/70e862f0-c906-11f0-84e9-d3326039e868.jpg</v>
      </c>
      <c r="I33" s="5" t="s">
        <v>140</v>
      </c>
      <c r="J33" s="5">
        <v>10</v>
      </c>
      <c r="K33" s="5" t="s">
        <v>57</v>
      </c>
      <c r="L33" s="7" t="s">
        <v>206</v>
      </c>
      <c r="M33" s="7" t="str">
        <f t="shared" si="1"/>
        <v>https://schnell-s3-image.s3.ap-south-1.amazonaws.com/luminator/58017240-689d-11f1-9e6a-a36ec4abbd45.jpg</v>
      </c>
      <c r="N33" s="5" t="s">
        <v>208</v>
      </c>
      <c r="O33" s="6" t="s">
        <v>174</v>
      </c>
      <c r="P33" s="5">
        <v>13.0323943</v>
      </c>
      <c r="Q33" s="5">
        <v>77.604772800000006</v>
      </c>
      <c r="R33" s="4" t="s">
        <v>172</v>
      </c>
      <c r="S33" s="5">
        <v>0</v>
      </c>
      <c r="T33" s="5">
        <v>6</v>
      </c>
      <c r="U33" s="5">
        <v>0</v>
      </c>
      <c r="V33" s="5">
        <v>0</v>
      </c>
      <c r="W33" s="5">
        <v>0</v>
      </c>
      <c r="X33" s="5">
        <v>22</v>
      </c>
      <c r="Y33" s="3">
        <v>0</v>
      </c>
      <c r="Z33" s="3">
        <v>0</v>
      </c>
      <c r="AA33" s="3"/>
    </row>
    <row r="34" spans="1:27" x14ac:dyDescent="0.3">
      <c r="A34" s="5">
        <v>32</v>
      </c>
      <c r="B34" s="6" t="s">
        <v>59</v>
      </c>
      <c r="C34" s="5"/>
      <c r="D34" s="5" t="s">
        <v>82</v>
      </c>
      <c r="E34" s="5">
        <v>68147198</v>
      </c>
      <c r="F34" s="4"/>
      <c r="G34" s="7" t="str">
        <f>VLOOKUP(K34,[1]Sheet1!$B:$F,5,0)</f>
        <v>https://schnell-s3-image.s3.ap-south-1.amazonaws.com/luminator/0f7357b0-c833-11f0-a7f4-17587747100d.jpg</v>
      </c>
      <c r="H34" s="7" t="str">
        <f t="shared" si="0"/>
        <v>https://schnell-s3-image.s3.ap-south-1.amazonaws.com/luminator/0f7357b0-c833-11f0-a7f4-17587747100d.jpg</v>
      </c>
      <c r="I34" s="5" t="s">
        <v>141</v>
      </c>
      <c r="J34" s="5">
        <v>14</v>
      </c>
      <c r="K34" s="5" t="s">
        <v>58</v>
      </c>
      <c r="L34" s="7" t="s">
        <v>207</v>
      </c>
      <c r="M34" s="7" t="str">
        <f t="shared" si="1"/>
        <v>https://schnell-s3-image.s3.ap-south-1.amazonaws.com/luminator/7bc9fe40-6ba4-11f1-9aba-b74332dd560e.jpg</v>
      </c>
      <c r="N34" s="5" t="s">
        <v>208</v>
      </c>
      <c r="O34" s="6" t="s">
        <v>174</v>
      </c>
      <c r="P34" s="5">
        <v>13.028321699999999</v>
      </c>
      <c r="Q34" s="5">
        <v>77.606913300000002</v>
      </c>
      <c r="R34" s="4" t="s">
        <v>173</v>
      </c>
      <c r="S34" s="5">
        <v>8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3">
        <v>0</v>
      </c>
      <c r="Z34" s="3">
        <v>0</v>
      </c>
      <c r="AA34" s="3"/>
    </row>
  </sheetData>
  <mergeCells count="2">
    <mergeCell ref="A1:G1"/>
    <mergeCell ref="I1:AA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Schnell</dc:creator>
  <cp:lastModifiedBy>Venkatesh Dhanabalan</cp:lastModifiedBy>
  <dcterms:created xsi:type="dcterms:W3CDTF">2026-09-22T06:24:51Z</dcterms:created>
  <dcterms:modified xsi:type="dcterms:W3CDTF">2026-10-21T12:16:16Z</dcterms:modified>
</cp:coreProperties>
</file>