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263A13C-C909-4C44-A0C5-42673C6FE697}" xr6:coauthVersionLast="47" xr6:coauthVersionMax="47" xr10:uidLastSave="{00000000-0000-0000-0000-000000000000}"/>
  <bookViews>
    <workbookView xWindow="-108" yWindow="-108" windowWidth="23256" windowHeight="12456" xr2:uid="{EEDAD9B1-28AB-48DE-BEC7-F83453928C3A}"/>
  </bookViews>
  <sheets>
    <sheet name=" W66 - FINAL REPORT" sheetId="1" r:id="rId1"/>
  </sheets>
  <externalReferences>
    <externalReference r:id="rId2"/>
  </externalReferences>
  <definedNames>
    <definedName name="_xlnm._FilterDatabase" localSheetId="0" hidden="1">' W66 - FINAL REPORT'!$A$2:$AA$41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1" i="1" l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<sst xmlns="http://schemas.openxmlformats.org/spreadsheetml/2006/main" count="354" uniqueCount="248">
  <si>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</si>
  <si>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</si>
  <si>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</si>
  <si>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</si>
  <si>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</si>
  <si>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</si>
  <si>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</si>
  <si>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</si>
  <si>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</si>
  <si>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</si>
  <si>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</si>
  <si>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</si>
  <si>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</si>
  <si>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</si>
  <si>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</si>
  <si>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</si>
  <si>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</si>
  <si>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</si>
  <si>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</si>
  <si>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</si>
  <si>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</si>
  <si>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</si>
  <si>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</si>
  <si>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</si>
  <si>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</si>
  <si>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</si>
  <si>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</si>
  <si>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SSC107SM00108</t>
  </si>
  <si>
    <t>SSC107SM00433</t>
  </si>
  <si>
    <t>SSC107SM00494</t>
  </si>
  <si>
    <t>SSC107SM00512</t>
  </si>
  <si>
    <t>SSC107SM00546</t>
  </si>
  <si>
    <t>SSC107SM00578</t>
  </si>
  <si>
    <t>SSC107SM02148</t>
  </si>
  <si>
    <t>SSC107SM01538</t>
  </si>
  <si>
    <t>SSC107SM02003</t>
  </si>
  <si>
    <t>SSC107SM02079</t>
  </si>
  <si>
    <t>SSC107SM02099</t>
  </si>
  <si>
    <t>SSC107SM01783</t>
  </si>
  <si>
    <t>SSC107SM02356</t>
  </si>
  <si>
    <t>SSC107SM02117</t>
  </si>
  <si>
    <t>SSC107SM02208</t>
  </si>
  <si>
    <t>SSC107SM02156</t>
  </si>
  <si>
    <t>SSC107SM02128</t>
  </si>
  <si>
    <t>SSC107SM01796</t>
  </si>
  <si>
    <t>SSC107SM01813</t>
  </si>
  <si>
    <t>SSC107SM02101</t>
  </si>
  <si>
    <t>SSC107SM01823</t>
  </si>
  <si>
    <t>SSC107SM02102</t>
  </si>
  <si>
    <t>SSC107SM02061</t>
  </si>
  <si>
    <t>SSC107SM01920</t>
  </si>
  <si>
    <t>SSC107SM02121</t>
  </si>
  <si>
    <t>SSC107SM02105</t>
  </si>
  <si>
    <t>SSC107SM01895</t>
  </si>
  <si>
    <t>SSC107SM02096</t>
  </si>
  <si>
    <t>SSC107SM02008</t>
  </si>
  <si>
    <t>SSC107SM02015</t>
  </si>
  <si>
    <t>SSC107SM02103</t>
  </si>
  <si>
    <t>SSC107SM01825</t>
  </si>
  <si>
    <t>SSC107SM02312</t>
  </si>
  <si>
    <t>SSC107SM02344</t>
  </si>
  <si>
    <t>SSC107SM02332</t>
  </si>
  <si>
    <t>SSC107SM02259</t>
  </si>
  <si>
    <t>SSC107SM01274</t>
  </si>
  <si>
    <t>SSC107SM01805</t>
  </si>
  <si>
    <t>SSC107SM01863</t>
  </si>
  <si>
    <t>280,Rabindranath Tagore Nagar Main Rd,3rd Block,Rahmath Nagar,RT Nagar,Bengaluru,Karnataka 560032,India</t>
  </si>
  <si>
    <t>89,near Chaitanya Hospital,Ex Servicemen Colony,Dinnur,RT Nagar,Bengaluru,Karnataka 560032,India</t>
  </si>
  <si>
    <t>43,1st Cross Rd,near BWSSB Office,P&amp;T Colony,Ganganagar,Bengaluru,Karnataka 560032,India</t>
  </si>
  <si>
    <t>16,1st Cross Rd,P&amp;T Colony,RT Nagar,Bengaluru,Karnataka 560032,India</t>
  </si>
  <si>
    <t>Chaitanya Hospital,80,3rd Cross Rd,Dinnur,Hebbal,Bengaluru,Karnataka 560032,India</t>
  </si>
  <si>
    <t>561,near FLORENCE PUBLIC SCHOOL,P&amp;T Colony,RT Nagar,Bengaluru,Karnataka 560032,India</t>
  </si>
  <si>
    <t>2HJX+RMJ,3rd Cross Rd,Chamundi Nagar,Hebbal,Bengaluru,Karnataka 560032,India</t>
  </si>
  <si>
    <t>39,C-39,1st Main Rd,Chamundi Nagar,Hebbal,Bengaluru,Karnataka 560032,India</t>
  </si>
  <si>
    <t>491,Chamundi Nagar Main Rd,Muninanjappa Block,Dinnur,Hebbal,Bengaluru,Karnataka 560032,India</t>
  </si>
  <si>
    <t>2HHX+H5W,Kenchappa Garden Residential Layout,Kauser Nagar,Dinnur,RT Nagar,Bengaluru,Karnataka 560032,India</t>
  </si>
  <si>
    <t>105,Chamundi Nagar Main Rd,Muninanjappa Block,Dinnur,Hebbal,Bengaluru,Karnataka 560032,India</t>
  </si>
  <si>
    <t>2JM2+29Q,Seethappa Layout,Chamundi Nagar,Hebbal,Bengaluru,Karnataka 560032,India</t>
  </si>
  <si>
    <t>taj fancy store,2,Chamundi Nagar Main Rd,opposite Shams medical,Mannarayanapalya,Chamundi Nagar,Hebbal,Bengaluru,Karnataka 560032,India</t>
  </si>
  <si>
    <t>315,Chamundi Nagar Main Rd,Kauser Nagar,Chamundi Nagar,Hebbal,Bengaluru,Karnataka 560032,India</t>
  </si>
  <si>
    <t>101/A,M Venkatappa Shampa Layout,Chamundi Nagar,Hebbal,Bengaluru,Karnataka 560032,India</t>
  </si>
  <si>
    <t>1333,Manjunatha Layout,Chamundi Nagar,Hebbal,Bengaluru,Karnataka 560032,India</t>
  </si>
  <si>
    <t>2,4th Cross Rd,Chamundi Nagar,Hebbal,Bengaluru,Karnataka 560032,India</t>
  </si>
  <si>
    <t>184,3rd Cross Rd,Manjunatha Layout,Chamundi Nagar,Hebbal,Bengaluru,Karnataka 560032,India</t>
  </si>
  <si>
    <t>Captain Shaik Ali,393,6th D Main Rd,S.T. Bed,1st Block Koramangala,Koramangala,Bengaluru,Karnataka 560032,India</t>
  </si>
  <si>
    <t>19/1,Dinnur Main Rd,near Poornima Nursing Home,Ex Servicemen Colony,Kauser Nagar,Dinnur,Hebbal,Bengaluru,Karnataka 560032,India</t>
  </si>
  <si>
    <t>Bhuvaneshewari nagar,5th Cross Rd,Dinnur,RT Nagar,Bengaluru,Karnataka 560032,India</t>
  </si>
  <si>
    <t>3,Dinnur Main Rd,near Navodaya Vidyaniketan School,Kauser Nagar,Dinnur,RT Nagar,Bengaluru,Karnataka 560032,India</t>
  </si>
  <si>
    <t>Muninanjappa Block,570,Dinnur,Hebbal,Bengaluru,Karnataka 560032,India</t>
  </si>
  <si>
    <t>577,2nd Cross Rd,P&amp;T Colony,Ganganagar,Bengaluru,Karnataka 560032,India</t>
  </si>
  <si>
    <t>9A,2nd Main Rd,Muninanjappa Block,Dinnur,Hebbal,Bengaluru,Karnataka 560032,India</t>
  </si>
  <si>
    <t>106,5A/106,Dinnur Main Rd,P&amp;T Colony,RT Nagar,Bengaluru,Karnataka 560032,India</t>
  </si>
  <si>
    <t>402,2nd Cross Rd,near Bank of India - R.T Nagar Branch,Rahmath Nagar,Ganganagar,Bengaluru,Karnataka 560032,India</t>
  </si>
  <si>
    <t>112,4th Cross Rd,Deve gowda nagar,Rahmath Nagar,Ganganagar,Bengaluru,Karnataka 560032,India</t>
  </si>
  <si>
    <t>Muninanjappa Block,702,Dinnur,Hebbal,Bengaluru,Karnataka 560032,India</t>
  </si>
  <si>
    <t>4,6th C Main Rd,Appanna Block,Kauser Nagar,Dinnur,RT Nagar,Bengaluru,Karnataka 560032,India</t>
  </si>
  <si>
    <t>2H9R+7X3,5th Cross Rd,Phase 3,Deve gowda nagar,Rahmath Nagar,Ganganagar,Bengaluru,Karnataka 560032,India</t>
  </si>
  <si>
    <t>20/3,Rahmath Nagar,RT Nagar,Bengaluru,Karnataka 560032,India</t>
  </si>
  <si>
    <t>12/1-4,3rd Main Rd,Deve gowda nagar,Rahmath Nagar,RT Nagar,Bengaluru,Karnataka 560032,India</t>
  </si>
  <si>
    <t>75,5th Main Rd,Ganganagar,Bengaluru,Karnataka 560032,India</t>
  </si>
  <si>
    <t>Abdul Khaleel,33,Rahmath Nagar,RT Nagar,Bengaluru,Karnataka 560032,India</t>
  </si>
  <si>
    <t>15/15,5th Cross Rd,Rahmath Nagar,RT Nagar,Bengaluru,Karnataka 560032,India</t>
  </si>
  <si>
    <t>23,Rabindranath Tagore Nagar Main Rd,Phase 3,Rahmath Nagar,Ganganagar,Bengaluru,Karnataka 560032,India</t>
  </si>
  <si>
    <t>Muninanjappa Block,44/2,MN Block,Dinnur,Hebbal,Bengaluru,Karnataka 560032,India</t>
  </si>
  <si>
    <t>12,Athmananda Colony Main Rd,MN Block,Muninanjappa Block,Dinnur,Hebbal,Bengaluru,Karnataka 560032,India</t>
  </si>
  <si>
    <t>Y</t>
  </si>
  <si>
    <t>-</t>
  </si>
  <si>
    <t>N</t>
  </si>
  <si>
    <t>BD0466273</t>
  </si>
  <si>
    <t>BC1319250</t>
  </si>
  <si>
    <t>BD0943721</t>
  </si>
  <si>
    <t>BD0466280</t>
  </si>
  <si>
    <t>BD0712912</t>
  </si>
  <si>
    <t>BD100148</t>
  </si>
  <si>
    <t>BD01297</t>
  </si>
  <si>
    <t>BD014513</t>
  </si>
  <si>
    <t>A4769854</t>
  </si>
  <si>
    <t>BD0616407</t>
  </si>
  <si>
    <t>BD1014161</t>
  </si>
  <si>
    <t>BC1268750</t>
  </si>
  <si>
    <t>BC046357</t>
  </si>
  <si>
    <t>BD0128194</t>
  </si>
  <si>
    <t>BD0602497</t>
  </si>
  <si>
    <t>BD1014469</t>
  </si>
  <si>
    <t>BD0943776</t>
  </si>
  <si>
    <t>BD1000053</t>
  </si>
  <si>
    <t>BD0557648</t>
  </si>
  <si>
    <t>BC1684648</t>
  </si>
  <si>
    <t>BD0466274</t>
  </si>
  <si>
    <t>BD0602496</t>
  </si>
  <si>
    <t>BC1404108</t>
  </si>
  <si>
    <t>BC1296126</t>
  </si>
  <si>
    <t>BD011649</t>
  </si>
  <si>
    <t>BD-0941418</t>
  </si>
  <si>
    <t>SALSS000277</t>
  </si>
  <si>
    <t>SALSS000104</t>
  </si>
  <si>
    <t>SALSS000955</t>
  </si>
  <si>
    <t>SALSS000919</t>
  </si>
  <si>
    <t>SALSS000918</t>
  </si>
  <si>
    <t>SALSS000967</t>
  </si>
  <si>
    <t>SALSS001524</t>
  </si>
  <si>
    <t>SALSS001426</t>
  </si>
  <si>
    <t>SALSS001019</t>
  </si>
  <si>
    <t>SALSS001122</t>
  </si>
  <si>
    <t>SALSS001853</t>
  </si>
  <si>
    <t>SALSS001338</t>
  </si>
  <si>
    <t>SALSS001617</t>
  </si>
  <si>
    <t>SALSS001231</t>
  </si>
  <si>
    <t>SALSS001811</t>
  </si>
  <si>
    <t>SALSS001948</t>
  </si>
  <si>
    <t>SALSS001949</t>
  </si>
  <si>
    <t>SALSS001008</t>
  </si>
  <si>
    <t>SALSS001131</t>
  </si>
  <si>
    <t>SALSS001622</t>
  </si>
  <si>
    <t>SALSS001031</t>
  </si>
  <si>
    <t>SALSS001942</t>
  </si>
  <si>
    <t>SALSS001870</t>
  </si>
  <si>
    <t>SALSS001430</t>
  </si>
  <si>
    <t>SALSS001428</t>
  </si>
  <si>
    <t>SALSS001238</t>
  </si>
  <si>
    <t>SALSS001541</t>
  </si>
  <si>
    <t>SALSS001629</t>
  </si>
  <si>
    <t>SALSS001133</t>
  </si>
  <si>
    <t>SALSS001012</t>
  </si>
  <si>
    <t>SALSS001528</t>
  </si>
  <si>
    <t>SALSS001221</t>
  </si>
  <si>
    <t>SALSS000571</t>
  </si>
  <si>
    <t>SALSS001060</t>
  </si>
  <si>
    <t>SALSS001925</t>
  </si>
  <si>
    <t>SALSS001605</t>
  </si>
  <si>
    <t>SALSS002043</t>
  </si>
  <si>
    <t>SALSS002144</t>
  </si>
  <si>
    <t>SALSS001250</t>
  </si>
  <si>
    <t>BTSC106</t>
  </si>
  <si>
    <t>C413SL37</t>
  </si>
  <si>
    <t>C43SL19</t>
  </si>
  <si>
    <t>C413SL56</t>
  </si>
  <si>
    <t>C4SL37</t>
  </si>
  <si>
    <t>C4GSL20B</t>
  </si>
  <si>
    <t>SL-6</t>
  </si>
  <si>
    <t>C4135SL6</t>
  </si>
  <si>
    <t>C4SL327</t>
  </si>
  <si>
    <t>SLB-187</t>
  </si>
  <si>
    <t>C4SL6B</t>
  </si>
  <si>
    <t>C413HBL49</t>
  </si>
  <si>
    <t>C413SL9A</t>
  </si>
  <si>
    <t>C4135L9A</t>
  </si>
  <si>
    <t>C4GSL11A</t>
  </si>
  <si>
    <t>C413SL127</t>
  </si>
  <si>
    <t>C4GSL208</t>
  </si>
  <si>
    <t>C413SL51B</t>
  </si>
  <si>
    <t>C413SL21</t>
  </si>
  <si>
    <t>BTBL4510</t>
  </si>
  <si>
    <t>BTSL33</t>
  </si>
  <si>
    <t>C413SL101</t>
  </si>
  <si>
    <t>BTSL45</t>
  </si>
  <si>
    <t>BTSL190A</t>
  </si>
  <si>
    <t>BTSL152</t>
  </si>
  <si>
    <t>BTSL21</t>
  </si>
  <si>
    <t>B7SL33A</t>
  </si>
  <si>
    <t>BTSL-93</t>
  </si>
  <si>
    <t>BTSL21A</t>
  </si>
  <si>
    <t>C4SL-74A</t>
  </si>
  <si>
    <t>C4SL40</t>
  </si>
  <si>
    <t>TC-41</t>
  </si>
  <si>
    <t>TC-187</t>
  </si>
  <si>
    <t>https://schnell-s3-image.s3.ap-south-1.amazonaws.com/luminator/b64c5870-3282-11f1-9885-c110487811c5.jpg</t>
  </si>
  <si>
    <t>https://schnell-s3-image.s3.ap-south-1.amazonaws.com/luminator/df5d20b0-2e80-11f1-9478-73b950bbe7e8.jpg</t>
  </si>
  <si>
    <t>https://schnell-s3-image.s3.ap-south-1.amazonaws.com/luminator/ecc64ce0-34c0-11f1-a3c6-e92c748b63a4.jpg</t>
  </si>
  <si>
    <t>https://schnell-s3-image.s3.ap-south-1.amazonaws.com/luminator/356d72d0-34bb-11f1-89cc-379e05fdd398.jpg</t>
  </si>
  <si>
    <t>https://schnell-s3-image.s3.ap-south-1.amazonaws.com/luminator/5bf422c0-34b4-11f1-89cc-379e05fdd398.jpg</t>
  </si>
  <si>
    <t>https://schnell-s3-image.s3.ap-south-1.amazonaws.com/luminator/593afa60-34ad-11f1-89cc-379e05fdd398.jpg</t>
  </si>
  <si>
    <t>https://schnell-s3-image.s3.ap-south-1.amazonaws.com/luminator/31532e20-6949-11f1-b299-a5f717bff498.jpg</t>
  </si>
  <si>
    <t>https://schnell-s3-image.s3.ap-south-1.amazonaws.com/luminator/8b982460-6950-11f1-b299-a5f717bff498.jpg</t>
  </si>
  <si>
    <t>https://schnell-s3-image.s3.ap-south-1.amazonaws.com/luminator/f6208d40-6973-11f1-b299-a5f717bff498.jpg</t>
  </si>
  <si>
    <t>https://schnell-s3-image.s3.ap-south-1.amazonaws.com/luminator/22d59350-696d-11f1-b299-a5f717bff498.jpg</t>
  </si>
  <si>
    <t>https://schnell-s3-image.s3.ap-south-1.amazonaws.com/luminator/406105f0-6970-11f1-b299-a5f717bff498.jpg</t>
  </si>
  <si>
    <t>https://schnell-s3-image.s3.ap-south-1.amazonaws.com/luminator/4867b140-693e-11f1-b299-a5f717bff498.jpg</t>
  </si>
  <si>
    <t>https://schnell-s3-image.s3.ap-south-1.amazonaws.com/luminator/7f411410-6969-11f1-b299-a5f717bff498.jpg</t>
  </si>
  <si>
    <t>https://schnell-s3-image.s3.ap-south-1.amazonaws.com/luminator/4b3ce290-6944-11f1-b299-a5f717bff498.jpg</t>
  </si>
  <si>
    <t>https://schnell-s3-image.s3.ap-south-1.amazonaws.com/luminator/817f5730-695c-11f1-b299-a5f717bff498.jpg</t>
  </si>
  <si>
    <t>https://schnell-s3-image.s3.ap-south-1.amazonaws.com/luminator/04cc27d0-694e-11f1-b299-a5f717bff498.jpg</t>
  </si>
  <si>
    <t>https://schnell-s3-image.s3.ap-south-1.amazonaws.com/luminator/10c795b0-6958-11f1-b299-a5f717bff498.jpg</t>
  </si>
  <si>
    <t>https://schnell-s3-image.s3.ap-south-1.amazonaws.com/luminator/ba85c110-6964-11f1-b299-a5f717bff498.jpg</t>
  </si>
  <si>
    <t>https://schnell-s3-image.s3.ap-south-1.amazonaws.com/luminator/5592cf00-6a18-11f1-95cb-d572b4436cda.jpg</t>
  </si>
  <si>
    <t>https://schnell-s3-image.s3.ap-south-1.amazonaws.com/luminator/18a2b160-6a1c-11f1-a83b-3f85615b6568.jpg</t>
  </si>
  <si>
    <t>https://schnell-s3-image.s3.ap-south-1.amazonaws.com/luminator/f8dd12c0-6a03-11f1-95cb-d572b4436cda.jpg</t>
  </si>
  <si>
    <t>https://schnell-s3-image.s3.ap-south-1.amazonaws.com/luminator/0dbcd460-6a21-11f1-a83b-3f85615b6568.jpg</t>
  </si>
  <si>
    <t>https://schnell-s3-image.s3.ap-south-1.amazonaws.com/luminator/c7b33eb0-6a10-11f1-95cb-d572b4436cda.jpg</t>
  </si>
  <si>
    <t>https://schnell-s3-image.s3.ap-south-1.amazonaws.com/luminator/5e801180-6a2d-11f1-a83b-3f85615b6568.jpg</t>
  </si>
  <si>
    <t>https://schnell-s3-image.s3.ap-south-1.amazonaws.com/luminator/c5b852b0-6a08-11f1-95cb-d572b4436cda.jpg</t>
  </si>
  <si>
    <t>https://schnell-s3-image.s3.ap-south-1.amazonaws.com/luminator/b6c43e70-6a23-11f1-a83b-3f85615b6568.jpg</t>
  </si>
  <si>
    <t>https://schnell-s3-image.s3.ap-south-1.amazonaws.com/luminator/e4cb8c10-6a32-11f1-a83b-3f85615b6568.jpg</t>
  </si>
  <si>
    <t>https://schnell-s3-image.s3.ap-south-1.amazonaws.com/luminator/96ae66b0-6a3c-11f1-a83b-3f85615b6568.jpg</t>
  </si>
  <si>
    <t>https://schnell-s3-image.s3.ap-south-1.amazonaws.com/luminator/b0b9b0e0-6a0b-11f1-95cb-d572b4436cda.jpg</t>
  </si>
  <si>
    <t>https://schnell-s3-image.s3.ap-south-1.amazonaws.com/luminator/b19c7620-6a13-11f1-95cb-d572b4436cda.jpg</t>
  </si>
  <si>
    <t>https://schnell-s3-image.s3.ap-south-1.amazonaws.com/luminator/2d11afd0-6a39-11f1-a83b-3f85615b6568.jpg</t>
  </si>
  <si>
    <t>https://schnell-s3-image.s3.ap-south-1.amazonaws.com/luminator/a44f7ee0-6bb2-11f1-9424-b5e8e8c92fae.jpg</t>
  </si>
  <si>
    <t>https://schnell-s3-image.s3.ap-south-1.amazonaws.com/luminator/cb4c58f0-6b9a-11f1-9acb-3722365f48b7.jpg</t>
  </si>
  <si>
    <t>https://schnell-s3-image.s3.ap-south-1.amazonaws.com/luminator/f5567760-6ba0-11f1-9acb-3722365f48b7.jpg</t>
  </si>
  <si>
    <t>https://schnell-s3-image.s3.ap-south-1.amazonaws.com/luminator/1a2b4180-6bae-11f1-9424-b5e8e8c92fae.jpg</t>
  </si>
  <si>
    <t>https://schnell-s3-image.s3.ap-south-1.amazonaws.com/luminator/ba5441e0-6bb6-11f1-9424-b5e8e8c92fae.jpg</t>
  </si>
  <si>
    <t>https://schnell-s3-image.s3.ap-south-1.amazonaws.com/luminator/64a484d0-6ba7-11f1-9424-b5e8e8c92fae.jpg</t>
  </si>
  <si>
    <t>https://schnell-s3-image.s3.ap-south-1.amazonaws.com/luminator/0b532b70-6e13-11f1-962f-9bceaa3ca2c2.jpg</t>
  </si>
  <si>
    <t>https://schnell-s3-image.s3.ap-south-1.amazonaws.com/luminator/549b1ab0-6e0c-11f1-8320-6dccf2ac6a38.jpg</t>
  </si>
  <si>
    <t>Existing</t>
  </si>
  <si>
    <t>BESCOM Meter Image Link</t>
  </si>
  <si>
    <t>CCMS Image &amp; Salzer METER 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</si>
</sst>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w Cen MT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00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2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ma\Desktop\Final%20Pole,%20lamp%20,%20SLC%20&amp;%20Commissioning%20Report\FINAL%20REPORT\SLC%20BBMP%20Format%20-%20Mail%20Sent\North\Hebbal\WARD%2066.xlsx" TargetMode="External"/><Relationship Id="rId1" Type="http://schemas.openxmlformats.org/officeDocument/2006/relationships/externalLinkPath" Target="WARD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CCMS Panel ID</v>
          </cell>
          <cell r="C2" t="str">
            <v>Transformer NUMBER</v>
          </cell>
          <cell r="D2" t="str">
            <v>R R Number</v>
          </cell>
          <cell r="E2" t="str">
            <v>BESCOM Meter Sr#</v>
          </cell>
          <cell r="F2" t="str">
            <v>BESCOM Meter Image</v>
          </cell>
        </row>
        <row r="3">
          <cell r="B3" t="str">
            <v>SSC107SM00108</v>
          </cell>
          <cell r="C3">
            <v>106</v>
          </cell>
          <cell r="D3" t="str">
            <v>BTSC106</v>
          </cell>
          <cell r="E3">
            <v>2924513</v>
          </cell>
          <cell r="F3" t="str">
            <v>https://schnell-s3-image.s3.ap-south-1.amazonaws.com/luminator/e393a030-c39d-11f0-90da-c1bf599eebb0.jpg</v>
          </cell>
        </row>
        <row r="4">
          <cell r="B4" t="str">
            <v>SSC107SM00433</v>
          </cell>
          <cell r="C4">
            <v>124</v>
          </cell>
          <cell r="D4" t="str">
            <v>C413SL37</v>
          </cell>
          <cell r="E4" t="str">
            <v>BD0466273</v>
          </cell>
          <cell r="F4" t="str">
            <v>https://schnell-s3-image.s3.ap-south-1.amazonaws.com/luminator/384b3390-c50b-11f0-bfa2-759a2f11a947.jpg</v>
          </cell>
        </row>
        <row r="5">
          <cell r="B5" t="str">
            <v>SSC107SM00494</v>
          </cell>
          <cell r="C5">
            <v>19</v>
          </cell>
          <cell r="D5" t="str">
            <v>C43SL19</v>
          </cell>
          <cell r="E5" t="str">
            <v>BC1319250</v>
          </cell>
          <cell r="F5" t="str">
            <v>https://schnell-s3-image.s3.ap-south-1.amazonaws.com/luminator/4d05d970-c506-11f0-bfa2-759a2f11a947.jpg</v>
          </cell>
        </row>
        <row r="6">
          <cell r="B6" t="str">
            <v>SSC107SM00512</v>
          </cell>
          <cell r="C6">
            <v>56</v>
          </cell>
          <cell r="D6" t="str">
            <v>C413SL56</v>
          </cell>
          <cell r="E6" t="str">
            <v>BD0943721</v>
          </cell>
          <cell r="F6" t="str">
            <v>https://schnell-s3-image.s3.ap-south-1.amazonaws.com/luminator/fede9860-c503-11f0-bfa2-759a2f11a947.jpg</v>
          </cell>
        </row>
        <row r="7">
          <cell r="B7" t="str">
            <v>SSC107SM00546</v>
          </cell>
          <cell r="C7">
            <v>37</v>
          </cell>
          <cell r="D7" t="str">
            <v>C4SL37</v>
          </cell>
          <cell r="E7" t="str">
            <v>BD0466280</v>
          </cell>
          <cell r="F7" t="str">
            <v>https://schnell-s3-image.s3.ap-south-1.amazonaws.com/luminator/f5a38fc0-c509-11f0-bfa2-759a2f11a947.jpg</v>
          </cell>
        </row>
        <row r="8">
          <cell r="B8" t="str">
            <v>SSC107SM00578</v>
          </cell>
          <cell r="C8" t="str">
            <v>-</v>
          </cell>
          <cell r="D8" t="str">
            <v>C4GSL20B</v>
          </cell>
          <cell r="E8" t="str">
            <v>BD0712912</v>
          </cell>
          <cell r="F8" t="str">
            <v>https://schnell-s3-image.s3.ap-south-1.amazonaws.com/luminator/6526a650-c3a4-11f0-90da-c1bf599eebb0.jpg</v>
          </cell>
        </row>
        <row r="9">
          <cell r="B9" t="str">
            <v>SSC107SM02148</v>
          </cell>
          <cell r="D9" t="str">
            <v>-</v>
          </cell>
          <cell r="E9" t="str">
            <v>-</v>
          </cell>
          <cell r="F9" t="str">
            <v>https://schnell-s3-image.s3.ap-south-1.amazonaws.com/luminator/9c999c90-c5e9-11f0-897e-21605510169d.jpg</v>
          </cell>
        </row>
        <row r="10">
          <cell r="B10" t="str">
            <v>SSC107SM01538</v>
          </cell>
          <cell r="C10" t="str">
            <v>TC-41</v>
          </cell>
          <cell r="D10" t="str">
            <v>SL-6</v>
          </cell>
          <cell r="E10" t="str">
            <v>BD100148</v>
          </cell>
          <cell r="F10" t="str">
            <v>https://schnell-s3-image.s3.ap-south-1.amazonaws.com/luminator/789a6100-c5d3-11f0-897e-21605510169d.jpg</v>
          </cell>
        </row>
        <row r="11">
          <cell r="B11" t="str">
            <v>SSC107SM02003</v>
          </cell>
          <cell r="C11">
            <v>46</v>
          </cell>
          <cell r="D11" t="str">
            <v>-</v>
          </cell>
          <cell r="E11" t="str">
            <v>BD01297</v>
          </cell>
          <cell r="F11" t="str">
            <v>https://schnell-s3-image.s3.ap-south-1.amazonaws.com/luminator/893139f0-c522-11f0-bfa2-759a2f11a947.jpg</v>
          </cell>
        </row>
        <row r="12">
          <cell r="B12" t="str">
            <v>SSC107SM02079</v>
          </cell>
          <cell r="C12" t="str">
            <v>-</v>
          </cell>
          <cell r="D12" t="str">
            <v>C4135SL6</v>
          </cell>
          <cell r="E12" t="str">
            <v>BD014513</v>
          </cell>
          <cell r="F12" t="str">
            <v>https://schnell-s3-image.s3.ap-south-1.amazonaws.com/luminator/a1ba8e80-c532-11f0-bfa2-759a2f11a947.jpg</v>
          </cell>
        </row>
        <row r="13">
          <cell r="B13" t="str">
            <v>SSC107SM02099</v>
          </cell>
          <cell r="C13">
            <v>111</v>
          </cell>
          <cell r="D13" t="str">
            <v>C4SL327</v>
          </cell>
          <cell r="E13" t="str">
            <v>A4769854</v>
          </cell>
          <cell r="F13" t="str">
            <v>https://schnell-s3-image.s3.ap-south-1.amazonaws.com/luminator/0a6e3830-c526-11f0-bfa2-759a2f11a947.jpg</v>
          </cell>
        </row>
        <row r="14">
          <cell r="B14" t="str">
            <v>SSC107SM01783</v>
          </cell>
          <cell r="C14" t="str">
            <v>TC-187</v>
          </cell>
          <cell r="D14" t="str">
            <v>SLB-187</v>
          </cell>
          <cell r="E14" t="str">
            <v>BD0616407</v>
          </cell>
          <cell r="F14" t="str">
            <v>https://schnell-s3-image.s3.ap-south-1.amazonaws.com/luminator/e0505050-c5f3-11f0-897e-21605510169d.jpg</v>
          </cell>
        </row>
        <row r="15">
          <cell r="B15" t="str">
            <v>SSC107SM02356</v>
          </cell>
          <cell r="C15" t="str">
            <v>-</v>
          </cell>
          <cell r="D15" t="str">
            <v>C4SL6B</v>
          </cell>
          <cell r="E15">
            <v>11947767</v>
          </cell>
          <cell r="F15" t="str">
            <v>https://schnell-s3-image.s3.ap-south-1.amazonaws.com/luminator/c5c6c0a0-12df-11f1-bac3-03b8cb80256c.jpg</v>
          </cell>
        </row>
        <row r="16">
          <cell r="B16" t="str">
            <v>SSC107SM02117</v>
          </cell>
          <cell r="C16" t="str">
            <v>-</v>
          </cell>
          <cell r="D16" t="str">
            <v>C413HBL49</v>
          </cell>
          <cell r="E16" t="str">
            <v>BD1014161</v>
          </cell>
          <cell r="F16" t="str">
            <v>https://schnell-s3-image.s3.ap-south-1.amazonaws.com/luminator/64d2f2c0-c5ee-11f0-897e-21605510169d.jpg</v>
          </cell>
        </row>
        <row r="17">
          <cell r="B17" t="str">
            <v>SSC107SM02208</v>
          </cell>
          <cell r="C17" t="str">
            <v>-</v>
          </cell>
          <cell r="D17" t="str">
            <v>C413SL9A</v>
          </cell>
          <cell r="E17" t="str">
            <v>BC1268750</v>
          </cell>
          <cell r="F17" t="str">
            <v>https://schnell-s3-image.s3.ap-south-1.amazonaws.com/luminator/701524c0-c5e2-11f0-897e-21605510169d.jpg</v>
          </cell>
        </row>
        <row r="18">
          <cell r="B18" t="str">
            <v>SSC107SM02156</v>
          </cell>
          <cell r="C18" t="str">
            <v>-</v>
          </cell>
          <cell r="D18" t="str">
            <v>-</v>
          </cell>
          <cell r="E18" t="str">
            <v>BC046357</v>
          </cell>
          <cell r="F18" t="str">
            <v>https://schnell-s3-image.s3.ap-south-1.amazonaws.com/luminator/8d8ebae0-c5d6-11f0-897e-21605510169d.jpg</v>
          </cell>
        </row>
        <row r="19">
          <cell r="B19" t="str">
            <v>SSC107SM02128</v>
          </cell>
          <cell r="C19" t="str">
            <v>-</v>
          </cell>
          <cell r="D19" t="str">
            <v>C4135L9A</v>
          </cell>
          <cell r="E19" t="str">
            <v>BD0128194</v>
          </cell>
          <cell r="F19" t="str">
            <v>https://schnell-s3-image.s3.ap-south-1.amazonaws.com/luminator/b8ef8560-c53c-11f0-bfa2-759a2f11a947.jpg</v>
          </cell>
        </row>
        <row r="20">
          <cell r="B20" t="str">
            <v>SSC107SM01796</v>
          </cell>
          <cell r="C20">
            <v>111</v>
          </cell>
          <cell r="D20" t="str">
            <v>C4GSL11A</v>
          </cell>
          <cell r="E20" t="str">
            <v>BD0602497</v>
          </cell>
          <cell r="F20" t="str">
            <v>https://schnell-s3-image.s3.ap-south-1.amazonaws.com/luminator/c5c6c0a0-12df-11f1-bac3-03b8cb80256c.jpg</v>
          </cell>
        </row>
        <row r="21">
          <cell r="B21" t="str">
            <v>SSC107SM01813</v>
          </cell>
          <cell r="C21">
            <v>12</v>
          </cell>
          <cell r="D21" t="str">
            <v>-</v>
          </cell>
          <cell r="E21" t="str">
            <v>BD1014469</v>
          </cell>
          <cell r="F21" t="str">
            <v>https://schnell-s3-image.s3.ap-south-1.amazonaws.com/luminator/c0592970-c472-11f0-b50a-436d5de0b784.jpg</v>
          </cell>
        </row>
        <row r="22">
          <cell r="B22" t="str">
            <v>SSC107SM02101</v>
          </cell>
          <cell r="C22" t="str">
            <v>-</v>
          </cell>
          <cell r="D22" t="str">
            <v>-</v>
          </cell>
          <cell r="E22" t="str">
            <v>BD0943776</v>
          </cell>
          <cell r="F22" t="str">
            <v>https://schnell-s3-image.s3.ap-south-1.amazonaws.com/luminator/c2dfdb80-c44a-11f0-9374-6b32d9164795.jpg</v>
          </cell>
        </row>
        <row r="23">
          <cell r="B23" t="str">
            <v>SSC107SM01823</v>
          </cell>
          <cell r="C23" t="str">
            <v>-</v>
          </cell>
          <cell r="D23" t="str">
            <v>-</v>
          </cell>
          <cell r="E23" t="str">
            <v>BD1000053</v>
          </cell>
          <cell r="F23" t="str">
            <v>https://schnell-s3-image.s3.ap-south-1.amazonaws.com/luminator/6a716840-c46a-11f0-b50a-436d5de0b784.jpg</v>
          </cell>
        </row>
        <row r="24">
          <cell r="B24" t="str">
            <v>SSC107SM02102</v>
          </cell>
          <cell r="C24" t="str">
            <v>-</v>
          </cell>
          <cell r="D24" t="str">
            <v>-</v>
          </cell>
          <cell r="E24" t="str">
            <v>BD0557648</v>
          </cell>
          <cell r="F24" t="str">
            <v>https://schnell-s3-image.s3.ap-south-1.amazonaws.com/luminator/5d267950-c447-11f0-9374-6b32d9164795.jpg</v>
          </cell>
        </row>
        <row r="25">
          <cell r="B25" t="str">
            <v>SSC107SM02061</v>
          </cell>
          <cell r="C25">
            <v>127</v>
          </cell>
          <cell r="D25" t="str">
            <v>C413SL127</v>
          </cell>
          <cell r="E25" t="str">
            <v>BC1684648</v>
          </cell>
          <cell r="F25" t="str">
            <v>https://schnell-s3-image.s3.ap-south-1.amazonaws.com/luminator/eed93a40-c465-11f0-b50a-436d5de0b784.jpg</v>
          </cell>
        </row>
        <row r="26">
          <cell r="B26" t="str">
            <v>SSC107SM01920</v>
          </cell>
          <cell r="C26">
            <v>237</v>
          </cell>
          <cell r="D26" t="str">
            <v>C4GSL208</v>
          </cell>
          <cell r="E26" t="str">
            <v>BD0466274</v>
          </cell>
          <cell r="F26" t="str">
            <v>https://schnell-s3-image.s3.ap-south-1.amazonaws.com/luminator/57276cf0-12dd-11f1-8f17-ab21b56c193d.jpg</v>
          </cell>
        </row>
        <row r="27">
          <cell r="B27" t="str">
            <v>SSC107SM02121</v>
          </cell>
          <cell r="C27" t="str">
            <v>-</v>
          </cell>
          <cell r="D27" t="str">
            <v>C413SL51B</v>
          </cell>
          <cell r="E27" t="str">
            <v>BD0602496</v>
          </cell>
          <cell r="F27" t="str">
            <v>https://schnell-s3-image.s3.ap-south-1.amazonaws.com/luminator/1f44eb40-c455-11f0-9374-6b32d9164795.jpg</v>
          </cell>
        </row>
        <row r="28">
          <cell r="B28" t="str">
            <v>SSC107SM02105</v>
          </cell>
          <cell r="C28" t="str">
            <v>-</v>
          </cell>
          <cell r="D28" t="str">
            <v>C413SL21</v>
          </cell>
          <cell r="E28" t="str">
            <v>BC1404108</v>
          </cell>
          <cell r="F28" t="str">
            <v>https://schnell-s3-image.s3.ap-south-1.amazonaws.com/luminator/e5af4440-c44d-11f0-9374-6b32d9164795.jpg</v>
          </cell>
        </row>
        <row r="29">
          <cell r="B29" t="str">
            <v>SSC107SM01895</v>
          </cell>
          <cell r="C29" t="str">
            <v>-</v>
          </cell>
          <cell r="D29" t="str">
            <v>BTBL4510</v>
          </cell>
          <cell r="E29">
            <v>2293542</v>
          </cell>
          <cell r="F29" t="str">
            <v>https://schnell-s3-image.s3.ap-south-1.amazonaws.com/luminator/473a7a40-c39a-11f0-90da-c1bf599eebb0.jpg</v>
          </cell>
        </row>
        <row r="30">
          <cell r="B30" t="str">
            <v>SSC107SM02096</v>
          </cell>
          <cell r="C30" t="str">
            <v>-</v>
          </cell>
          <cell r="D30" t="str">
            <v>BTSL33</v>
          </cell>
          <cell r="E30">
            <v>50415187</v>
          </cell>
          <cell r="F30" t="str">
            <v>https://schnell-s3-image.s3.ap-south-1.amazonaws.com/luminator/257a29d0-c392-11f0-90da-c1bf599eebb0.jpg</v>
          </cell>
        </row>
        <row r="31">
          <cell r="B31" t="str">
            <v>SSC107SM02008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https://schnell-s3-image.s3.ap-south-1.amazonaws.com/luminator/9c999c90-c5e9-11f0-897e-21605510169d.jpg</v>
          </cell>
        </row>
        <row r="32">
          <cell r="B32" t="str">
            <v>SSC107SM02015</v>
          </cell>
          <cell r="C32">
            <v>12</v>
          </cell>
          <cell r="D32" t="str">
            <v>C413SL101</v>
          </cell>
          <cell r="E32" t="str">
            <v>BC1296126</v>
          </cell>
          <cell r="F32" t="str">
            <v>https://schnell-s3-image.s3.ap-south-1.amazonaws.com/luminator/12459540-c377-11f0-90da-c1bf599eebb0.jpg</v>
          </cell>
        </row>
        <row r="33">
          <cell r="B33" t="str">
            <v>SSC107SM02103</v>
          </cell>
          <cell r="C33" t="str">
            <v>-</v>
          </cell>
          <cell r="D33" t="str">
            <v>BTSL45</v>
          </cell>
          <cell r="E33">
            <v>4441889</v>
          </cell>
          <cell r="F33" t="str">
            <v>https://schnell-s3-image.s3.ap-south-1.amazonaws.com/luminator/f2dc9190-c38a-11f0-90da-c1bf599eebb0.jpg</v>
          </cell>
        </row>
        <row r="34">
          <cell r="B34" t="str">
            <v>SSC107SM01825</v>
          </cell>
          <cell r="C34" t="str">
            <v>-</v>
          </cell>
          <cell r="D34" t="str">
            <v>BTSL190A</v>
          </cell>
          <cell r="E34" t="str">
            <v>-</v>
          </cell>
          <cell r="F34" t="str">
            <v>https://schnell-s3-image.s3.ap-south-1.amazonaws.com/luminator/217f0530-c383-11f0-90da-c1bf599eebb0.jpg</v>
          </cell>
        </row>
        <row r="35">
          <cell r="B35" t="str">
            <v>SSC107SM02312</v>
          </cell>
          <cell r="C35">
            <v>33</v>
          </cell>
          <cell r="D35" t="str">
            <v>BTSL152</v>
          </cell>
          <cell r="E35">
            <v>52482977</v>
          </cell>
          <cell r="F35" t="str">
            <v>https://schnell-s3-image.s3.ap-south-1.amazonaws.com/luminator/cc6ec600-c37f-11f0-90da-c1bf599eebb0.jpg</v>
          </cell>
        </row>
        <row r="36">
          <cell r="B36" t="str">
            <v>SSC107SM02344</v>
          </cell>
          <cell r="C36" t="str">
            <v>-</v>
          </cell>
          <cell r="D36" t="str">
            <v>BTSL21</v>
          </cell>
          <cell r="E36">
            <v>2923548</v>
          </cell>
          <cell r="F36" t="str">
            <v>https://schnell-s3-image.s3.ap-south-1.amazonaws.com/luminator/0f5dbac0-c37b-11f0-90da-c1bf599eebb0.jpg</v>
          </cell>
        </row>
        <row r="37">
          <cell r="B37" t="str">
            <v>SSC107SM02332</v>
          </cell>
          <cell r="C37">
            <v>107</v>
          </cell>
          <cell r="D37" t="str">
            <v>B7SL33A</v>
          </cell>
          <cell r="E37">
            <v>1940943</v>
          </cell>
          <cell r="F37" t="str">
            <v>https://schnell-s3-image.s3.ap-south-1.amazonaws.com/luminator/2594fd70-c395-11f0-90da-c1bf599eebb0.jpg</v>
          </cell>
        </row>
        <row r="38">
          <cell r="B38" t="str">
            <v>SSC107SM02259</v>
          </cell>
          <cell r="C38" t="str">
            <v>-</v>
          </cell>
          <cell r="D38" t="str">
            <v>BTSL-93</v>
          </cell>
          <cell r="E38">
            <v>2923473</v>
          </cell>
          <cell r="F38" t="str">
            <v>https://schnell-s3-image.s3.ap-south-1.amazonaws.com/luminator/063519f0-c387-11f0-90da-c1bf599eebb0.jpg</v>
          </cell>
        </row>
        <row r="39">
          <cell r="B39" t="str">
            <v>SSC107SM01274</v>
          </cell>
          <cell r="C39" t="str">
            <v>-</v>
          </cell>
          <cell r="D39" t="str">
            <v>BTSL21A</v>
          </cell>
          <cell r="E39" t="str">
            <v>-</v>
          </cell>
          <cell r="F39" t="str">
            <v>https://schnell-s3-image.s3.ap-south-1.amazonaws.com/luminator/12459540-c377-11f0-90da-c1bf599eebb0.jpg</v>
          </cell>
        </row>
        <row r="40">
          <cell r="B40" t="str">
            <v>SSC107SM01805</v>
          </cell>
          <cell r="C40">
            <v>74</v>
          </cell>
          <cell r="D40" t="str">
            <v>C4SL-74A</v>
          </cell>
          <cell r="E40" t="str">
            <v>BD011649</v>
          </cell>
          <cell r="F40" t="str">
            <v>https://schnell-s3-image.s3.ap-south-1.amazonaws.com/luminator/dab56c40-c461-11f0-9374-6b32d9164795.jpg</v>
          </cell>
        </row>
        <row r="41">
          <cell r="B41" t="str">
            <v>SSC107SM01863</v>
          </cell>
          <cell r="C41">
            <v>40</v>
          </cell>
          <cell r="D41" t="str">
            <v>C4SL40</v>
          </cell>
          <cell r="E41" t="str">
            <v>BD-0941418</v>
          </cell>
          <cell r="F41" t="str">
            <v>https://schnell-s3-image.s3.ap-south-1.amazonaws.com/luminator/10fc1050-c45e-11f0-9374-6b32d9164795.jpg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B3E4-D786-4527-B0D6-223C2F750DA5}">
  <dimension ref="A1:AA41"/>
  <sheetViews>
    <sheetView tabSelected="1" workbookViewId="0">
      <selection activeCell="E4" sqref="E4"/>
    </sheetView>
  </sheetViews>
  <sheetFormatPr defaultRowHeight="14.4" x14ac:dyDescent="0.3"/>
  <cols>
    <col min="3" max="3" width="0" hidden="1" customWidth="1"/>
    <col min="5" max="5" width="10.6640625" bestFit="1" customWidth="1"/>
    <col min="6" max="7" width="0" hidden="1" customWidth="1"/>
    <col min="8" max="8" width="16.109375" customWidth="1"/>
    <col min="9" max="9" width="11.6640625" bestFit="1" customWidth="1"/>
    <col min="11" max="11" width="14.5546875" bestFit="1" customWidth="1"/>
    <col min="12" max="12" width="0" hidden="1" customWidth="1"/>
    <col min="13" max="13" width="19.21875" customWidth="1"/>
  </cols>
  <sheetData>
    <row r="1" spans="1:27" s="2" customFormat="1" ht="15.6" customHeight="1" x14ac:dyDescent="0.3">
      <c r="A1" s="10" t="s">
        <v>0</v>
      </c>
      <c r="B1" s="10"/>
      <c r="C1" s="10"/>
      <c r="D1" s="10"/>
      <c r="E1" s="10"/>
      <c r="F1" s="10"/>
      <c r="G1" s="10"/>
      <c r="H1" s="1"/>
      <c r="I1" s="10" t="s">
        <v>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s="2" customFormat="1" ht="78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246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247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x14ac:dyDescent="0.3">
      <c r="A3" s="6">
        <v>1</v>
      </c>
      <c r="B3" s="6">
        <v>106</v>
      </c>
      <c r="C3" s="6"/>
      <c r="D3" s="6" t="s">
        <v>173</v>
      </c>
      <c r="E3" s="6">
        <v>2924513</v>
      </c>
      <c r="F3" s="6"/>
      <c r="G3" s="9" t="str">
        <f>VLOOKUP(K3,[1]Sheet1!$B:$F,5,0)</f>
        <v>https://schnell-s3-image.s3.ap-south-1.amazonaws.com/luminator/e393a030-c39d-11f0-90da-c1bf599eebb0.jpg</v>
      </c>
      <c r="H3" s="9" t="str">
        <f>HYPERLINK(G3)</f>
        <v>https://schnell-s3-image.s3.ap-south-1.amazonaws.com/luminator/e393a030-c39d-11f0-90da-c1bf599eebb0.jpg</v>
      </c>
      <c r="I3" s="6" t="s">
        <v>134</v>
      </c>
      <c r="J3" s="6">
        <v>18</v>
      </c>
      <c r="K3" s="7" t="s">
        <v>27</v>
      </c>
      <c r="L3" s="9" t="s">
        <v>206</v>
      </c>
      <c r="M3" s="9" t="str">
        <f>HYPERLINK(L3)</f>
        <v>https://schnell-s3-image.s3.ap-south-1.amazonaws.com/luminator/b64c5870-3282-11f1-9885-c110487811c5.jpg</v>
      </c>
      <c r="N3" s="6" t="s">
        <v>245</v>
      </c>
      <c r="O3" s="8" t="s">
        <v>105</v>
      </c>
      <c r="P3" s="4">
        <v>13.0201934</v>
      </c>
      <c r="Q3" s="4">
        <v>77.592692600000007</v>
      </c>
      <c r="R3" s="5" t="s">
        <v>66</v>
      </c>
      <c r="S3" s="3">
        <v>3</v>
      </c>
      <c r="T3" s="3">
        <v>0</v>
      </c>
      <c r="U3" s="3">
        <v>0</v>
      </c>
      <c r="V3" s="3">
        <v>0</v>
      </c>
      <c r="W3" s="3">
        <v>0</v>
      </c>
      <c r="X3" s="3">
        <v>11</v>
      </c>
      <c r="Y3" s="3">
        <v>3</v>
      </c>
      <c r="Z3" s="3">
        <v>0</v>
      </c>
      <c r="AA3" s="3"/>
    </row>
    <row r="4" spans="1:27" x14ac:dyDescent="0.3">
      <c r="A4" s="6">
        <v>2</v>
      </c>
      <c r="B4" s="6">
        <v>124</v>
      </c>
      <c r="C4" s="6"/>
      <c r="D4" s="6" t="s">
        <v>174</v>
      </c>
      <c r="E4" s="6" t="s">
        <v>108</v>
      </c>
      <c r="F4" s="6"/>
      <c r="G4" s="9" t="str">
        <f>VLOOKUP(K4,[1]Sheet1!$B:$F,5,0)</f>
        <v>https://schnell-s3-image.s3.ap-south-1.amazonaws.com/luminator/384b3390-c50b-11f0-bfa2-759a2f11a947.jpg</v>
      </c>
      <c r="H4" s="9" t="str">
        <f t="shared" ref="H4:H41" si="0">HYPERLINK(G4)</f>
        <v>https://schnell-s3-image.s3.ap-south-1.amazonaws.com/luminator/384b3390-c50b-11f0-bfa2-759a2f11a947.jpg</v>
      </c>
      <c r="I4" s="6" t="s">
        <v>135</v>
      </c>
      <c r="J4" s="6">
        <v>1</v>
      </c>
      <c r="K4" s="7" t="s">
        <v>28</v>
      </c>
      <c r="L4" s="9" t="s">
        <v>207</v>
      </c>
      <c r="M4" s="9" t="str">
        <f t="shared" ref="M4:M41" si="1">HYPERLINK(L4)</f>
        <v>https://schnell-s3-image.s3.ap-south-1.amazonaws.com/luminator/df5d20b0-2e80-11f1-9478-73b950bbe7e8.jpg</v>
      </c>
      <c r="N4" s="6" t="s">
        <v>245</v>
      </c>
      <c r="O4" s="8" t="s">
        <v>105</v>
      </c>
      <c r="P4" s="4">
        <v>13.024056699999999</v>
      </c>
      <c r="Q4" s="4">
        <v>77.594777199999996</v>
      </c>
      <c r="R4" s="5" t="s">
        <v>67</v>
      </c>
      <c r="S4" s="3">
        <v>2</v>
      </c>
      <c r="T4" s="3">
        <v>0</v>
      </c>
      <c r="U4" s="3">
        <v>0</v>
      </c>
      <c r="V4" s="3">
        <v>0</v>
      </c>
      <c r="W4" s="3">
        <v>0</v>
      </c>
      <c r="X4" s="3">
        <v>30</v>
      </c>
      <c r="Y4" s="3">
        <v>1</v>
      </c>
      <c r="Z4" s="3">
        <v>0</v>
      </c>
      <c r="AA4" s="3"/>
    </row>
    <row r="5" spans="1:27" x14ac:dyDescent="0.3">
      <c r="A5" s="6">
        <v>3</v>
      </c>
      <c r="B5" s="6">
        <v>19</v>
      </c>
      <c r="C5" s="6"/>
      <c r="D5" s="6" t="s">
        <v>175</v>
      </c>
      <c r="E5" s="6" t="s">
        <v>109</v>
      </c>
      <c r="F5" s="6"/>
      <c r="G5" s="9" t="str">
        <f>VLOOKUP(K5,[1]Sheet1!$B:$F,5,0)</f>
        <v>https://schnell-s3-image.s3.ap-south-1.amazonaws.com/luminator/4d05d970-c506-11f0-bfa2-759a2f11a947.jpg</v>
      </c>
      <c r="H5" s="9" t="str">
        <f t="shared" si="0"/>
        <v>https://schnell-s3-image.s3.ap-south-1.amazonaws.com/luminator/4d05d970-c506-11f0-bfa2-759a2f11a947.jpg</v>
      </c>
      <c r="I5" s="6" t="s">
        <v>136</v>
      </c>
      <c r="J5" s="6">
        <v>0</v>
      </c>
      <c r="K5" s="7" t="s">
        <v>29</v>
      </c>
      <c r="L5" s="9" t="s">
        <v>208</v>
      </c>
      <c r="M5" s="9" t="str">
        <f t="shared" si="1"/>
        <v>https://schnell-s3-image.s3.ap-south-1.amazonaws.com/luminator/ecc64ce0-34c0-11f1-a3c6-e92c748b63a4.jpg</v>
      </c>
      <c r="N5" s="6" t="s">
        <v>245</v>
      </c>
      <c r="O5" s="8" t="s">
        <v>105</v>
      </c>
      <c r="P5" s="4">
        <v>13.0233109</v>
      </c>
      <c r="Q5" s="4">
        <v>77.593446299999997</v>
      </c>
      <c r="R5" s="5" t="s">
        <v>68</v>
      </c>
      <c r="S5" s="3">
        <v>10</v>
      </c>
      <c r="T5" s="3">
        <v>0</v>
      </c>
      <c r="U5" s="3">
        <v>0</v>
      </c>
      <c r="V5" s="3">
        <v>0</v>
      </c>
      <c r="W5" s="3">
        <v>0</v>
      </c>
      <c r="X5" s="3">
        <v>3</v>
      </c>
      <c r="Y5" s="3">
        <v>1</v>
      </c>
      <c r="Z5" s="3">
        <v>0</v>
      </c>
      <c r="AA5" s="3"/>
    </row>
    <row r="6" spans="1:27" x14ac:dyDescent="0.3">
      <c r="A6" s="6">
        <v>4</v>
      </c>
      <c r="B6" s="6">
        <v>56</v>
      </c>
      <c r="C6" s="6"/>
      <c r="D6" s="6" t="s">
        <v>176</v>
      </c>
      <c r="E6" s="6" t="s">
        <v>110</v>
      </c>
      <c r="F6" s="6"/>
      <c r="G6" s="9" t="str">
        <f>VLOOKUP(K6,[1]Sheet1!$B:$F,5,0)</f>
        <v>https://schnell-s3-image.s3.ap-south-1.amazonaws.com/luminator/fede9860-c503-11f0-bfa2-759a2f11a947.jpg</v>
      </c>
      <c r="H6" s="9" t="str">
        <f t="shared" si="0"/>
        <v>https://schnell-s3-image.s3.ap-south-1.amazonaws.com/luminator/fede9860-c503-11f0-bfa2-759a2f11a947.jpg</v>
      </c>
      <c r="I6" s="6" t="s">
        <v>137</v>
      </c>
      <c r="J6" s="6">
        <v>5</v>
      </c>
      <c r="K6" s="7" t="s">
        <v>30</v>
      </c>
      <c r="L6" s="9" t="s">
        <v>209</v>
      </c>
      <c r="M6" s="9" t="str">
        <f t="shared" si="1"/>
        <v>https://schnell-s3-image.s3.ap-south-1.amazonaws.com/luminator/356d72d0-34bb-11f1-89cc-379e05fdd398.jpg</v>
      </c>
      <c r="N6" s="6" t="s">
        <v>245</v>
      </c>
      <c r="O6" s="8" t="s">
        <v>105</v>
      </c>
      <c r="P6" s="4">
        <v>13.0241509</v>
      </c>
      <c r="Q6" s="4">
        <v>77.594216099999997</v>
      </c>
      <c r="R6" s="5" t="s">
        <v>69</v>
      </c>
      <c r="S6" s="3">
        <v>6</v>
      </c>
      <c r="T6" s="3">
        <v>0</v>
      </c>
      <c r="U6" s="3">
        <v>0</v>
      </c>
      <c r="V6" s="3">
        <v>0</v>
      </c>
      <c r="W6" s="3">
        <v>0</v>
      </c>
      <c r="X6" s="3">
        <v>15</v>
      </c>
      <c r="Y6" s="3">
        <v>4</v>
      </c>
      <c r="Z6" s="3">
        <v>0</v>
      </c>
      <c r="AA6" s="3"/>
    </row>
    <row r="7" spans="1:27" x14ac:dyDescent="0.3">
      <c r="A7" s="6">
        <v>5</v>
      </c>
      <c r="B7" s="6">
        <v>37</v>
      </c>
      <c r="C7" s="6"/>
      <c r="D7" s="6" t="s">
        <v>177</v>
      </c>
      <c r="E7" s="6" t="s">
        <v>111</v>
      </c>
      <c r="F7" s="6"/>
      <c r="G7" s="9" t="str">
        <f>VLOOKUP(K7,[1]Sheet1!$B:$F,5,0)</f>
        <v>https://schnell-s3-image.s3.ap-south-1.amazonaws.com/luminator/f5a38fc0-c509-11f0-bfa2-759a2f11a947.jpg</v>
      </c>
      <c r="H7" s="9" t="str">
        <f t="shared" si="0"/>
        <v>https://schnell-s3-image.s3.ap-south-1.amazonaws.com/luminator/f5a38fc0-c509-11f0-bfa2-759a2f11a947.jpg</v>
      </c>
      <c r="I7" s="6" t="s">
        <v>138</v>
      </c>
      <c r="J7" s="6">
        <v>4</v>
      </c>
      <c r="K7" s="7" t="s">
        <v>31</v>
      </c>
      <c r="L7" s="9" t="s">
        <v>210</v>
      </c>
      <c r="M7" s="9" t="str">
        <f t="shared" si="1"/>
        <v>https://schnell-s3-image.s3.ap-south-1.amazonaws.com/luminator/5bf422c0-34b4-11f1-89cc-379e05fdd398.jpg</v>
      </c>
      <c r="N7" s="6" t="s">
        <v>245</v>
      </c>
      <c r="O7" s="8" t="s">
        <v>105</v>
      </c>
      <c r="P7" s="4">
        <v>13.0241509</v>
      </c>
      <c r="Q7" s="4">
        <v>77.594216099999997</v>
      </c>
      <c r="R7" s="5" t="s">
        <v>70</v>
      </c>
      <c r="S7" s="3">
        <v>21</v>
      </c>
      <c r="T7" s="3">
        <v>0</v>
      </c>
      <c r="U7" s="3">
        <v>0</v>
      </c>
      <c r="V7" s="3">
        <v>0</v>
      </c>
      <c r="W7" s="3">
        <v>0</v>
      </c>
      <c r="X7" s="3">
        <v>1</v>
      </c>
      <c r="Y7" s="3">
        <v>6</v>
      </c>
      <c r="Z7" s="3">
        <v>0</v>
      </c>
      <c r="AA7" s="3"/>
    </row>
    <row r="8" spans="1:27" x14ac:dyDescent="0.3">
      <c r="A8" s="6">
        <v>6</v>
      </c>
      <c r="B8" s="6" t="s">
        <v>106</v>
      </c>
      <c r="C8" s="6"/>
      <c r="D8" s="6" t="s">
        <v>178</v>
      </c>
      <c r="E8" s="6" t="s">
        <v>112</v>
      </c>
      <c r="F8" s="6"/>
      <c r="G8" s="9" t="str">
        <f>VLOOKUP(K8,[1]Sheet1!$B:$F,5,0)</f>
        <v>https://schnell-s3-image.s3.ap-south-1.amazonaws.com/luminator/6526a650-c3a4-11f0-90da-c1bf599eebb0.jpg</v>
      </c>
      <c r="H8" s="9" t="str">
        <f t="shared" si="0"/>
        <v>https://schnell-s3-image.s3.ap-south-1.amazonaws.com/luminator/6526a650-c3a4-11f0-90da-c1bf599eebb0.jpg</v>
      </c>
      <c r="I8" s="6" t="s">
        <v>139</v>
      </c>
      <c r="J8" s="6">
        <v>1</v>
      </c>
      <c r="K8" s="7" t="s">
        <v>32</v>
      </c>
      <c r="L8" s="9" t="s">
        <v>211</v>
      </c>
      <c r="M8" s="9" t="str">
        <f t="shared" si="1"/>
        <v>https://schnell-s3-image.s3.ap-south-1.amazonaws.com/luminator/593afa60-34ad-11f1-89cc-379e05fdd398.jpg</v>
      </c>
      <c r="N8" s="6" t="s">
        <v>245</v>
      </c>
      <c r="O8" s="8" t="s">
        <v>105</v>
      </c>
      <c r="P8" s="4">
        <v>13.023512999999999</v>
      </c>
      <c r="Q8" s="4">
        <v>77.592168999999998</v>
      </c>
      <c r="R8" s="5" t="s">
        <v>71</v>
      </c>
      <c r="S8" s="3">
        <v>19</v>
      </c>
      <c r="T8" s="3">
        <v>0</v>
      </c>
      <c r="U8" s="3">
        <v>0</v>
      </c>
      <c r="V8" s="3">
        <v>0</v>
      </c>
      <c r="W8" s="3">
        <v>0</v>
      </c>
      <c r="X8" s="3">
        <v>2</v>
      </c>
      <c r="Y8" s="3">
        <v>2</v>
      </c>
      <c r="Z8" s="3">
        <v>0</v>
      </c>
      <c r="AA8" s="3"/>
    </row>
    <row r="9" spans="1:27" x14ac:dyDescent="0.3">
      <c r="A9" s="6">
        <v>7</v>
      </c>
      <c r="B9" s="6"/>
      <c r="C9" s="6"/>
      <c r="D9" s="6" t="s">
        <v>106</v>
      </c>
      <c r="E9" s="6" t="s">
        <v>106</v>
      </c>
      <c r="F9" s="6"/>
      <c r="G9" s="9" t="str">
        <f>VLOOKUP(K9,[1]Sheet1!$B:$F,5,0)</f>
        <v>https://schnell-s3-image.s3.ap-south-1.amazonaws.com/luminator/9c999c90-c5e9-11f0-897e-21605510169d.jpg</v>
      </c>
      <c r="H9" s="9" t="str">
        <f t="shared" si="0"/>
        <v>https://schnell-s3-image.s3.ap-south-1.amazonaws.com/luminator/9c999c90-c5e9-11f0-897e-21605510169d.jpg</v>
      </c>
      <c r="I9" s="6" t="s">
        <v>140</v>
      </c>
      <c r="J9" s="6">
        <v>42</v>
      </c>
      <c r="K9" s="7" t="s">
        <v>33</v>
      </c>
      <c r="L9" s="9" t="s">
        <v>212</v>
      </c>
      <c r="M9" s="9" t="str">
        <f t="shared" si="1"/>
        <v>https://schnell-s3-image.s3.ap-south-1.amazonaws.com/luminator/31532e20-6949-11f1-b299-a5f717bff498.jpg</v>
      </c>
      <c r="N9" s="6" t="s">
        <v>245</v>
      </c>
      <c r="O9" s="8" t="s">
        <v>106</v>
      </c>
      <c r="P9" s="4">
        <v>13.0321205</v>
      </c>
      <c r="Q9" s="4">
        <v>77.5991894</v>
      </c>
      <c r="R9" s="5" t="s">
        <v>72</v>
      </c>
      <c r="S9" s="3">
        <v>1</v>
      </c>
      <c r="T9" s="3">
        <v>11</v>
      </c>
      <c r="U9" s="3">
        <v>0</v>
      </c>
      <c r="V9" s="3">
        <v>0</v>
      </c>
      <c r="W9" s="3">
        <v>0</v>
      </c>
      <c r="X9" s="3">
        <v>11</v>
      </c>
      <c r="Y9" s="3">
        <v>3</v>
      </c>
      <c r="Z9" s="3">
        <v>0</v>
      </c>
      <c r="AA9" s="3"/>
    </row>
    <row r="10" spans="1:27" x14ac:dyDescent="0.3">
      <c r="A10" s="6">
        <v>8</v>
      </c>
      <c r="B10" s="6" t="s">
        <v>204</v>
      </c>
      <c r="C10" s="6"/>
      <c r="D10" s="6" t="s">
        <v>179</v>
      </c>
      <c r="E10" s="6" t="s">
        <v>113</v>
      </c>
      <c r="F10" s="6"/>
      <c r="G10" s="9" t="str">
        <f>VLOOKUP(K10,[1]Sheet1!$B:$F,5,0)</f>
        <v>https://schnell-s3-image.s3.ap-south-1.amazonaws.com/luminator/789a6100-c5d3-11f0-897e-21605510169d.jpg</v>
      </c>
      <c r="H10" s="9" t="str">
        <f t="shared" si="0"/>
        <v>https://schnell-s3-image.s3.ap-south-1.amazonaws.com/luminator/789a6100-c5d3-11f0-897e-21605510169d.jpg</v>
      </c>
      <c r="I10" s="6" t="s">
        <v>141</v>
      </c>
      <c r="J10" s="6">
        <v>21</v>
      </c>
      <c r="K10" s="7" t="s">
        <v>34</v>
      </c>
      <c r="L10" s="9" t="s">
        <v>213</v>
      </c>
      <c r="M10" s="9" t="str">
        <f t="shared" si="1"/>
        <v>https://schnell-s3-image.s3.ap-south-1.amazonaws.com/luminator/8b982460-6950-11f1-b299-a5f717bff498.jpg</v>
      </c>
      <c r="N10" s="6" t="s">
        <v>245</v>
      </c>
      <c r="O10" s="8" t="s">
        <v>105</v>
      </c>
      <c r="P10" s="4">
        <v>13.031326399999999</v>
      </c>
      <c r="Q10" s="4">
        <v>77.598080699999997</v>
      </c>
      <c r="R10" s="5" t="s">
        <v>73</v>
      </c>
      <c r="S10" s="3">
        <v>3</v>
      </c>
      <c r="T10" s="3">
        <v>0</v>
      </c>
      <c r="U10" s="3">
        <v>0</v>
      </c>
      <c r="V10" s="3">
        <v>0</v>
      </c>
      <c r="W10" s="3">
        <v>0</v>
      </c>
      <c r="X10" s="3">
        <v>13</v>
      </c>
      <c r="Y10" s="3">
        <v>1</v>
      </c>
      <c r="Z10" s="3">
        <v>0</v>
      </c>
      <c r="AA10" s="3"/>
    </row>
    <row r="11" spans="1:27" x14ac:dyDescent="0.3">
      <c r="A11" s="6">
        <v>9</v>
      </c>
      <c r="B11" s="6">
        <v>46</v>
      </c>
      <c r="C11" s="6"/>
      <c r="D11" s="6" t="s">
        <v>106</v>
      </c>
      <c r="E11" s="6" t="s">
        <v>114</v>
      </c>
      <c r="F11" s="6"/>
      <c r="G11" s="9" t="str">
        <f>VLOOKUP(K11,[1]Sheet1!$B:$F,5,0)</f>
        <v>https://schnell-s3-image.s3.ap-south-1.amazonaws.com/luminator/893139f0-c522-11f0-bfa2-759a2f11a947.jpg</v>
      </c>
      <c r="H11" s="9" t="str">
        <f t="shared" si="0"/>
        <v>https://schnell-s3-image.s3.ap-south-1.amazonaws.com/luminator/893139f0-c522-11f0-bfa2-759a2f11a947.jpg</v>
      </c>
      <c r="I11" s="6" t="s">
        <v>142</v>
      </c>
      <c r="J11" s="6">
        <v>5</v>
      </c>
      <c r="K11" s="7" t="s">
        <v>35</v>
      </c>
      <c r="L11" s="9" t="s">
        <v>214</v>
      </c>
      <c r="M11" s="9" t="str">
        <f t="shared" si="1"/>
        <v>https://schnell-s3-image.s3.ap-south-1.amazonaws.com/luminator/f6208d40-6973-11f1-b299-a5f717bff498.jpg</v>
      </c>
      <c r="N11" s="6" t="s">
        <v>245</v>
      </c>
      <c r="O11" s="8" t="s">
        <v>105</v>
      </c>
      <c r="P11" s="4">
        <v>13.0276242</v>
      </c>
      <c r="Q11" s="4">
        <v>77.597183299999998</v>
      </c>
      <c r="R11" s="5" t="s">
        <v>74</v>
      </c>
      <c r="S11" s="3">
        <v>0</v>
      </c>
      <c r="T11" s="3">
        <v>3</v>
      </c>
      <c r="U11" s="3">
        <v>0</v>
      </c>
      <c r="V11" s="3">
        <v>0</v>
      </c>
      <c r="W11" s="3">
        <v>0</v>
      </c>
      <c r="X11" s="3">
        <v>20</v>
      </c>
      <c r="Y11" s="3">
        <v>0</v>
      </c>
      <c r="Z11" s="3">
        <v>0</v>
      </c>
      <c r="AA11" s="3"/>
    </row>
    <row r="12" spans="1:27" x14ac:dyDescent="0.3">
      <c r="A12" s="6">
        <v>10</v>
      </c>
      <c r="B12" s="6" t="s">
        <v>106</v>
      </c>
      <c r="C12" s="6"/>
      <c r="D12" s="6" t="s">
        <v>180</v>
      </c>
      <c r="E12" s="6" t="s">
        <v>115</v>
      </c>
      <c r="F12" s="6"/>
      <c r="G12" s="9" t="str">
        <f>VLOOKUP(K12,[1]Sheet1!$B:$F,5,0)</f>
        <v>https://schnell-s3-image.s3.ap-south-1.amazonaws.com/luminator/a1ba8e80-c532-11f0-bfa2-759a2f11a947.jpg</v>
      </c>
      <c r="H12" s="9" t="str">
        <f t="shared" si="0"/>
        <v>https://schnell-s3-image.s3.ap-south-1.amazonaws.com/luminator/a1ba8e80-c532-11f0-bfa2-759a2f11a947.jpg</v>
      </c>
      <c r="I12" s="6" t="s">
        <v>143</v>
      </c>
      <c r="J12" s="6">
        <v>10</v>
      </c>
      <c r="K12" s="7" t="s">
        <v>36</v>
      </c>
      <c r="L12" s="9" t="s">
        <v>215</v>
      </c>
      <c r="M12" s="9" t="str">
        <f t="shared" si="1"/>
        <v>https://schnell-s3-image.s3.ap-south-1.amazonaws.com/luminator/22d59350-696d-11f1-b299-a5f717bff498.jpg</v>
      </c>
      <c r="N12" s="6" t="s">
        <v>245</v>
      </c>
      <c r="O12" s="8" t="s">
        <v>105</v>
      </c>
      <c r="P12" s="4">
        <v>13.028999300000001</v>
      </c>
      <c r="Q12" s="4">
        <v>77.597986800000001</v>
      </c>
      <c r="R12" s="5" t="s">
        <v>75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20</v>
      </c>
      <c r="Y12" s="3">
        <v>1</v>
      </c>
      <c r="Z12" s="3">
        <v>0</v>
      </c>
      <c r="AA12" s="3"/>
    </row>
    <row r="13" spans="1:27" x14ac:dyDescent="0.3">
      <c r="A13" s="6">
        <v>11</v>
      </c>
      <c r="B13" s="6">
        <v>111</v>
      </c>
      <c r="C13" s="6"/>
      <c r="D13" s="6" t="s">
        <v>181</v>
      </c>
      <c r="E13" s="6" t="s">
        <v>116</v>
      </c>
      <c r="F13" s="6"/>
      <c r="G13" s="9" t="str">
        <f>VLOOKUP(K13,[1]Sheet1!$B:$F,5,0)</f>
        <v>https://schnell-s3-image.s3.ap-south-1.amazonaws.com/luminator/0a6e3830-c526-11f0-bfa2-759a2f11a947.jpg</v>
      </c>
      <c r="H13" s="9" t="str">
        <f t="shared" si="0"/>
        <v>https://schnell-s3-image.s3.ap-south-1.amazonaws.com/luminator/0a6e3830-c526-11f0-bfa2-759a2f11a947.jpg</v>
      </c>
      <c r="I13" s="6" t="s">
        <v>144</v>
      </c>
      <c r="J13" s="6">
        <v>12</v>
      </c>
      <c r="K13" s="7" t="s">
        <v>37</v>
      </c>
      <c r="L13" s="9" t="s">
        <v>216</v>
      </c>
      <c r="M13" s="9" t="str">
        <f t="shared" si="1"/>
        <v>https://schnell-s3-image.s3.ap-south-1.amazonaws.com/luminator/406105f0-6970-11f1-b299-a5f717bff498.jpg</v>
      </c>
      <c r="N13" s="6" t="s">
        <v>245</v>
      </c>
      <c r="O13" s="8" t="s">
        <v>105</v>
      </c>
      <c r="P13" s="4">
        <v>13.0281611</v>
      </c>
      <c r="Q13" s="4">
        <v>77.597643399999995</v>
      </c>
      <c r="R13" s="5" t="s">
        <v>76</v>
      </c>
      <c r="S13" s="3">
        <v>2</v>
      </c>
      <c r="T13" s="3">
        <v>2</v>
      </c>
      <c r="U13" s="3">
        <v>0</v>
      </c>
      <c r="V13" s="3">
        <v>0</v>
      </c>
      <c r="W13" s="3">
        <v>0</v>
      </c>
      <c r="X13" s="3">
        <v>12</v>
      </c>
      <c r="Y13" s="3">
        <v>2</v>
      </c>
      <c r="Z13" s="3">
        <v>0</v>
      </c>
      <c r="AA13" s="3"/>
    </row>
    <row r="14" spans="1:27" x14ac:dyDescent="0.3">
      <c r="A14" s="6">
        <v>12</v>
      </c>
      <c r="B14" s="6" t="s">
        <v>205</v>
      </c>
      <c r="C14" s="6"/>
      <c r="D14" s="6" t="s">
        <v>182</v>
      </c>
      <c r="E14" s="6" t="s">
        <v>117</v>
      </c>
      <c r="F14" s="6"/>
      <c r="G14" s="9" t="str">
        <f>VLOOKUP(K14,[1]Sheet1!$B:$F,5,0)</f>
        <v>https://schnell-s3-image.s3.ap-south-1.amazonaws.com/luminator/e0505050-c5f3-11f0-897e-21605510169d.jpg</v>
      </c>
      <c r="H14" s="9" t="str">
        <f t="shared" si="0"/>
        <v>https://schnell-s3-image.s3.ap-south-1.amazonaws.com/luminator/e0505050-c5f3-11f0-897e-21605510169d.jpg</v>
      </c>
      <c r="I14" s="6" t="s">
        <v>145</v>
      </c>
      <c r="J14" s="6">
        <v>20</v>
      </c>
      <c r="K14" s="7" t="s">
        <v>38</v>
      </c>
      <c r="L14" s="9" t="s">
        <v>217</v>
      </c>
      <c r="M14" s="9" t="str">
        <f t="shared" si="1"/>
        <v>https://schnell-s3-image.s3.ap-south-1.amazonaws.com/luminator/4867b140-693e-11f1-b299-a5f717bff498.jpg</v>
      </c>
      <c r="N14" s="6" t="s">
        <v>245</v>
      </c>
      <c r="O14" s="8" t="s">
        <v>105</v>
      </c>
      <c r="P14" s="4">
        <v>13.0326906</v>
      </c>
      <c r="Q14" s="4">
        <v>77.600989499999997</v>
      </c>
      <c r="R14" s="5" t="s">
        <v>77</v>
      </c>
      <c r="S14" s="3">
        <v>15</v>
      </c>
      <c r="T14" s="3">
        <v>1</v>
      </c>
      <c r="U14" s="3">
        <v>0</v>
      </c>
      <c r="V14" s="3">
        <v>0</v>
      </c>
      <c r="W14" s="3">
        <v>0</v>
      </c>
      <c r="X14" s="3">
        <v>20</v>
      </c>
      <c r="Y14" s="3">
        <v>5</v>
      </c>
      <c r="Z14" s="3">
        <v>0</v>
      </c>
      <c r="AA14" s="3"/>
    </row>
    <row r="15" spans="1:27" x14ac:dyDescent="0.3">
      <c r="A15" s="6">
        <v>13</v>
      </c>
      <c r="B15" s="6" t="s">
        <v>106</v>
      </c>
      <c r="C15" s="6"/>
      <c r="D15" s="6" t="s">
        <v>183</v>
      </c>
      <c r="E15" s="6">
        <v>11947767</v>
      </c>
      <c r="F15" s="6"/>
      <c r="G15" s="9" t="str">
        <f>VLOOKUP(K15,[1]Sheet1!$B:$F,5,0)</f>
        <v>https://schnell-s3-image.s3.ap-south-1.amazonaws.com/luminator/c5c6c0a0-12df-11f1-bac3-03b8cb80256c.jpg</v>
      </c>
      <c r="H15" s="9" t="str">
        <f t="shared" si="0"/>
        <v>https://schnell-s3-image.s3.ap-south-1.amazonaws.com/luminator/c5c6c0a0-12df-11f1-bac3-03b8cb80256c.jpg</v>
      </c>
      <c r="I15" s="6" t="s">
        <v>146</v>
      </c>
      <c r="J15" s="6">
        <v>9</v>
      </c>
      <c r="K15" s="7" t="s">
        <v>39</v>
      </c>
      <c r="L15" s="9" t="s">
        <v>218</v>
      </c>
      <c r="M15" s="9" t="str">
        <f t="shared" si="1"/>
        <v>https://schnell-s3-image.s3.ap-south-1.amazonaws.com/luminator/7f411410-6969-11f1-b299-a5f717bff498.jpg</v>
      </c>
      <c r="N15" s="6" t="s">
        <v>245</v>
      </c>
      <c r="O15" s="8" t="s">
        <v>105</v>
      </c>
      <c r="P15" s="4">
        <v>13.0302829</v>
      </c>
      <c r="Q15" s="4">
        <v>77.597978900000001</v>
      </c>
      <c r="R15" s="5" t="s">
        <v>78</v>
      </c>
      <c r="S15" s="3">
        <v>1</v>
      </c>
      <c r="T15" s="3">
        <v>0</v>
      </c>
      <c r="U15" s="3">
        <v>0</v>
      </c>
      <c r="V15" s="3">
        <v>0</v>
      </c>
      <c r="W15" s="3">
        <v>0</v>
      </c>
      <c r="X15" s="3">
        <v>21</v>
      </c>
      <c r="Y15" s="3">
        <v>0</v>
      </c>
      <c r="Z15" s="3">
        <v>0</v>
      </c>
      <c r="AA15" s="3"/>
    </row>
    <row r="16" spans="1:27" x14ac:dyDescent="0.3">
      <c r="A16" s="6">
        <v>14</v>
      </c>
      <c r="B16" s="6" t="s">
        <v>106</v>
      </c>
      <c r="C16" s="6"/>
      <c r="D16" s="6" t="s">
        <v>184</v>
      </c>
      <c r="E16" s="6" t="s">
        <v>118</v>
      </c>
      <c r="F16" s="6"/>
      <c r="G16" s="9" t="str">
        <f>VLOOKUP(K16,[1]Sheet1!$B:$F,5,0)</f>
        <v>https://schnell-s3-image.s3.ap-south-1.amazonaws.com/luminator/64d2f2c0-c5ee-11f0-897e-21605510169d.jpg</v>
      </c>
      <c r="H16" s="9" t="str">
        <f t="shared" si="0"/>
        <v>https://schnell-s3-image.s3.ap-south-1.amazonaws.com/luminator/64d2f2c0-c5ee-11f0-897e-21605510169d.jpg</v>
      </c>
      <c r="I16" s="6" t="s">
        <v>147</v>
      </c>
      <c r="J16" s="6">
        <v>38</v>
      </c>
      <c r="K16" s="7" t="s">
        <v>40</v>
      </c>
      <c r="L16" s="9" t="s">
        <v>219</v>
      </c>
      <c r="M16" s="9" t="str">
        <f t="shared" si="1"/>
        <v>https://schnell-s3-image.s3.ap-south-1.amazonaws.com/luminator/4b3ce290-6944-11f1-b299-a5f717bff498.jpg</v>
      </c>
      <c r="N16" s="6" t="s">
        <v>245</v>
      </c>
      <c r="O16" s="8" t="s">
        <v>105</v>
      </c>
      <c r="P16" s="4">
        <v>13.0327857</v>
      </c>
      <c r="Q16" s="4">
        <v>77.599217800000005</v>
      </c>
      <c r="R16" s="5" t="s">
        <v>79</v>
      </c>
      <c r="S16" s="3">
        <v>0</v>
      </c>
      <c r="T16" s="3">
        <v>5</v>
      </c>
      <c r="U16" s="3">
        <v>0</v>
      </c>
      <c r="V16" s="3">
        <v>0</v>
      </c>
      <c r="W16" s="3">
        <v>0</v>
      </c>
      <c r="X16" s="3">
        <v>5</v>
      </c>
      <c r="Y16" s="3">
        <v>1</v>
      </c>
      <c r="Z16" s="3">
        <v>0</v>
      </c>
      <c r="AA16" s="3"/>
    </row>
    <row r="17" spans="1:27" x14ac:dyDescent="0.3">
      <c r="A17" s="6">
        <v>15</v>
      </c>
      <c r="B17" s="6" t="s">
        <v>106</v>
      </c>
      <c r="C17" s="6"/>
      <c r="D17" s="6" t="s">
        <v>185</v>
      </c>
      <c r="E17" s="6" t="s">
        <v>119</v>
      </c>
      <c r="F17" s="6"/>
      <c r="G17" s="9" t="str">
        <f>VLOOKUP(K17,[1]Sheet1!$B:$F,5,0)</f>
        <v>https://schnell-s3-image.s3.ap-south-1.amazonaws.com/luminator/701524c0-c5e2-11f0-897e-21605510169d.jpg</v>
      </c>
      <c r="H17" s="9" t="str">
        <f t="shared" si="0"/>
        <v>https://schnell-s3-image.s3.ap-south-1.amazonaws.com/luminator/701524c0-c5e2-11f0-897e-21605510169d.jpg</v>
      </c>
      <c r="I17" s="6" t="s">
        <v>148</v>
      </c>
      <c r="J17" s="6">
        <v>37</v>
      </c>
      <c r="K17" s="7" t="s">
        <v>41</v>
      </c>
      <c r="L17" s="9" t="s">
        <v>220</v>
      </c>
      <c r="M17" s="9" t="str">
        <f t="shared" si="1"/>
        <v>https://schnell-s3-image.s3.ap-south-1.amazonaws.com/luminator/817f5730-695c-11f1-b299-a5f717bff498.jpg</v>
      </c>
      <c r="N17" s="6" t="s">
        <v>245</v>
      </c>
      <c r="O17" s="8" t="s">
        <v>105</v>
      </c>
      <c r="P17" s="4">
        <v>13.030200600000001</v>
      </c>
      <c r="Q17" s="4">
        <v>77.599344099999996</v>
      </c>
      <c r="R17" s="5" t="s">
        <v>80</v>
      </c>
      <c r="S17" s="3">
        <v>26</v>
      </c>
      <c r="T17" s="3">
        <v>26</v>
      </c>
      <c r="U17" s="3">
        <v>0</v>
      </c>
      <c r="V17" s="3">
        <v>0</v>
      </c>
      <c r="W17" s="3">
        <v>0</v>
      </c>
      <c r="X17" s="3">
        <v>3</v>
      </c>
      <c r="Y17" s="3">
        <v>0</v>
      </c>
      <c r="Z17" s="3">
        <v>0</v>
      </c>
      <c r="AA17" s="3"/>
    </row>
    <row r="18" spans="1:27" x14ac:dyDescent="0.3">
      <c r="A18" s="6">
        <v>16</v>
      </c>
      <c r="B18" s="6" t="s">
        <v>106</v>
      </c>
      <c r="C18" s="6"/>
      <c r="D18" s="6" t="s">
        <v>106</v>
      </c>
      <c r="E18" s="6" t="s">
        <v>120</v>
      </c>
      <c r="F18" s="6"/>
      <c r="G18" s="9" t="str">
        <f>VLOOKUP(K18,[1]Sheet1!$B:$F,5,0)</f>
        <v>https://schnell-s3-image.s3.ap-south-1.amazonaws.com/luminator/8d8ebae0-c5d6-11f0-897e-21605510169d.jpg</v>
      </c>
      <c r="H18" s="9" t="str">
        <f t="shared" si="0"/>
        <v>https://schnell-s3-image.s3.ap-south-1.amazonaws.com/luminator/8d8ebae0-c5d6-11f0-897e-21605510169d.jpg</v>
      </c>
      <c r="I18" s="6" t="s">
        <v>149</v>
      </c>
      <c r="J18" s="6">
        <v>10</v>
      </c>
      <c r="K18" s="7" t="s">
        <v>42</v>
      </c>
      <c r="L18" s="9" t="s">
        <v>221</v>
      </c>
      <c r="M18" s="9" t="str">
        <f t="shared" si="1"/>
        <v>https://schnell-s3-image.s3.ap-south-1.amazonaws.com/luminator/04cc27d0-694e-11f1-b299-a5f717bff498.jpg</v>
      </c>
      <c r="N18" s="6" t="s">
        <v>245</v>
      </c>
      <c r="O18" s="8" t="s">
        <v>105</v>
      </c>
      <c r="P18" s="4">
        <v>13.031446499999999</v>
      </c>
      <c r="Q18" s="4">
        <v>77.597206</v>
      </c>
      <c r="R18" s="5" t="s">
        <v>81</v>
      </c>
      <c r="S18" s="3">
        <v>1</v>
      </c>
      <c r="T18" s="3">
        <v>10</v>
      </c>
      <c r="U18" s="3">
        <v>0</v>
      </c>
      <c r="V18" s="3">
        <v>0</v>
      </c>
      <c r="W18" s="3">
        <v>0</v>
      </c>
      <c r="X18" s="3">
        <v>12</v>
      </c>
      <c r="Y18" s="3">
        <v>2</v>
      </c>
      <c r="Z18" s="3">
        <v>0</v>
      </c>
      <c r="AA18" s="3"/>
    </row>
    <row r="19" spans="1:27" x14ac:dyDescent="0.3">
      <c r="A19" s="6">
        <v>17</v>
      </c>
      <c r="B19" s="6" t="s">
        <v>106</v>
      </c>
      <c r="C19" s="6"/>
      <c r="D19" s="6" t="s">
        <v>186</v>
      </c>
      <c r="E19" s="6" t="s">
        <v>121</v>
      </c>
      <c r="F19" s="6"/>
      <c r="G19" s="9" t="str">
        <f>VLOOKUP(K19,[1]Sheet1!$B:$F,5,0)</f>
        <v>https://schnell-s3-image.s3.ap-south-1.amazonaws.com/luminator/b8ef8560-c53c-11f0-bfa2-759a2f11a947.jpg</v>
      </c>
      <c r="H19" s="9" t="str">
        <f t="shared" si="0"/>
        <v>https://schnell-s3-image.s3.ap-south-1.amazonaws.com/luminator/b8ef8560-c53c-11f0-bfa2-759a2f11a947.jpg</v>
      </c>
      <c r="I19" s="6" t="s">
        <v>150</v>
      </c>
      <c r="J19" s="6">
        <v>33</v>
      </c>
      <c r="K19" s="7" t="s">
        <v>43</v>
      </c>
      <c r="L19" s="9" t="s">
        <v>222</v>
      </c>
      <c r="M19" s="9" t="str">
        <f t="shared" si="1"/>
        <v>https://schnell-s3-image.s3.ap-south-1.amazonaws.com/luminator/10c795b0-6958-11f1-b299-a5f717bff498.jpg</v>
      </c>
      <c r="N19" s="6" t="s">
        <v>245</v>
      </c>
      <c r="O19" s="8" t="s">
        <v>105</v>
      </c>
      <c r="P19" s="4">
        <v>13.0310351</v>
      </c>
      <c r="Q19" s="4">
        <v>77.598791599999998</v>
      </c>
      <c r="R19" s="5" t="s">
        <v>82</v>
      </c>
      <c r="S19" s="3">
        <v>2</v>
      </c>
      <c r="T19" s="3">
        <v>22</v>
      </c>
      <c r="U19" s="3">
        <v>0</v>
      </c>
      <c r="V19" s="3">
        <v>0</v>
      </c>
      <c r="W19" s="3">
        <v>0</v>
      </c>
      <c r="X19" s="3">
        <v>8</v>
      </c>
      <c r="Y19" s="3">
        <v>1</v>
      </c>
      <c r="Z19" s="3">
        <v>0</v>
      </c>
      <c r="AA19" s="3"/>
    </row>
    <row r="20" spans="1:27" x14ac:dyDescent="0.3">
      <c r="A20" s="6">
        <v>18</v>
      </c>
      <c r="B20" s="6">
        <v>111</v>
      </c>
      <c r="C20" s="6"/>
      <c r="D20" s="6" t="s">
        <v>187</v>
      </c>
      <c r="E20" s="6" t="s">
        <v>122</v>
      </c>
      <c r="F20" s="6"/>
      <c r="G20" s="9" t="str">
        <f>VLOOKUP(K20,[1]Sheet1!$B:$F,5,0)</f>
        <v>https://schnell-s3-image.s3.ap-south-1.amazonaws.com/luminator/c5c6c0a0-12df-11f1-bac3-03b8cb80256c.jpg</v>
      </c>
      <c r="H20" s="9" t="str">
        <f t="shared" si="0"/>
        <v>https://schnell-s3-image.s3.ap-south-1.amazonaws.com/luminator/c5c6c0a0-12df-11f1-bac3-03b8cb80256c.jpg</v>
      </c>
      <c r="I20" s="6" t="s">
        <v>151</v>
      </c>
      <c r="J20" s="6">
        <v>35</v>
      </c>
      <c r="K20" s="7" t="s">
        <v>44</v>
      </c>
      <c r="L20" s="9" t="s">
        <v>223</v>
      </c>
      <c r="M20" s="9" t="str">
        <f t="shared" si="1"/>
        <v>https://schnell-s3-image.s3.ap-south-1.amazonaws.com/luminator/ba85c110-6964-11f1-b299-a5f717bff498.jpg</v>
      </c>
      <c r="N20" s="6" t="s">
        <v>245</v>
      </c>
      <c r="O20" s="8" t="s">
        <v>105</v>
      </c>
      <c r="P20" s="4">
        <v>13.0298189</v>
      </c>
      <c r="Q20" s="4">
        <v>77.597893900000003</v>
      </c>
      <c r="R20" s="5" t="s">
        <v>83</v>
      </c>
      <c r="S20" s="3">
        <v>7</v>
      </c>
      <c r="T20" s="3">
        <v>10</v>
      </c>
      <c r="U20" s="3">
        <v>0</v>
      </c>
      <c r="V20" s="3">
        <v>0</v>
      </c>
      <c r="W20" s="3">
        <v>0</v>
      </c>
      <c r="X20" s="3">
        <v>10</v>
      </c>
      <c r="Y20" s="3">
        <v>0</v>
      </c>
      <c r="Z20" s="3">
        <v>0</v>
      </c>
      <c r="AA20" s="3"/>
    </row>
    <row r="21" spans="1:27" x14ac:dyDescent="0.3">
      <c r="A21" s="6">
        <v>19</v>
      </c>
      <c r="B21" s="6">
        <v>12</v>
      </c>
      <c r="C21" s="6"/>
      <c r="D21" s="6" t="s">
        <v>106</v>
      </c>
      <c r="E21" s="6" t="s">
        <v>123</v>
      </c>
      <c r="F21" s="6"/>
      <c r="G21" s="9" t="str">
        <f>VLOOKUP(K21,[1]Sheet1!$B:$F,5,0)</f>
        <v>https://schnell-s3-image.s3.ap-south-1.amazonaws.com/luminator/c0592970-c472-11f0-b50a-436d5de0b784.jpg</v>
      </c>
      <c r="H21" s="9" t="str">
        <f t="shared" si="0"/>
        <v>https://schnell-s3-image.s3.ap-south-1.amazonaws.com/luminator/c0592970-c472-11f0-b50a-436d5de0b784.jpg</v>
      </c>
      <c r="I21" s="6" t="s">
        <v>152</v>
      </c>
      <c r="J21" s="6">
        <v>15</v>
      </c>
      <c r="K21" s="7" t="s">
        <v>45</v>
      </c>
      <c r="L21" s="9" t="s">
        <v>224</v>
      </c>
      <c r="M21" s="9" t="str">
        <f t="shared" si="1"/>
        <v>https://schnell-s3-image.s3.ap-south-1.amazonaws.com/luminator/5592cf00-6a18-11f1-95cb-d572b4436cda.jpg</v>
      </c>
      <c r="N21" s="6" t="s">
        <v>245</v>
      </c>
      <c r="O21" s="8" t="s">
        <v>105</v>
      </c>
      <c r="P21" s="4">
        <v>13.027188600000001</v>
      </c>
      <c r="Q21" s="4">
        <v>77.595404900000005</v>
      </c>
      <c r="R21" s="5" t="s">
        <v>84</v>
      </c>
      <c r="S21" s="3">
        <v>2</v>
      </c>
      <c r="T21" s="3">
        <v>0</v>
      </c>
      <c r="U21" s="3">
        <v>0</v>
      </c>
      <c r="V21" s="3">
        <v>0</v>
      </c>
      <c r="W21" s="3">
        <v>0</v>
      </c>
      <c r="X21" s="3">
        <v>20</v>
      </c>
      <c r="Y21" s="3">
        <v>2</v>
      </c>
      <c r="Z21" s="3">
        <v>0</v>
      </c>
      <c r="AA21" s="3"/>
    </row>
    <row r="22" spans="1:27" x14ac:dyDescent="0.3">
      <c r="A22" s="6">
        <v>20</v>
      </c>
      <c r="B22" s="6" t="s">
        <v>106</v>
      </c>
      <c r="C22" s="6"/>
      <c r="D22" s="6" t="s">
        <v>106</v>
      </c>
      <c r="E22" s="6" t="s">
        <v>124</v>
      </c>
      <c r="F22" s="6"/>
      <c r="G22" s="9" t="str">
        <f>VLOOKUP(K22,[1]Sheet1!$B:$F,5,0)</f>
        <v>https://schnell-s3-image.s3.ap-south-1.amazonaws.com/luminator/c2dfdb80-c44a-11f0-9374-6b32d9164795.jpg</v>
      </c>
      <c r="H22" s="9" t="str">
        <f t="shared" si="0"/>
        <v>https://schnell-s3-image.s3.ap-south-1.amazonaws.com/luminator/c2dfdb80-c44a-11f0-9374-6b32d9164795.jpg</v>
      </c>
      <c r="I22" s="6" t="s">
        <v>153</v>
      </c>
      <c r="J22" s="6">
        <v>11</v>
      </c>
      <c r="K22" s="7" t="s">
        <v>46</v>
      </c>
      <c r="L22" s="9" t="s">
        <v>225</v>
      </c>
      <c r="M22" s="9" t="str">
        <f t="shared" si="1"/>
        <v>https://schnell-s3-image.s3.ap-south-1.amazonaws.com/luminator/18a2b160-6a1c-11f1-a83b-3f85615b6568.jpg</v>
      </c>
      <c r="N22" s="6" t="s">
        <v>245</v>
      </c>
      <c r="O22" s="8" t="s">
        <v>105</v>
      </c>
      <c r="P22" s="4">
        <v>13.024635399999999</v>
      </c>
      <c r="Q22" s="4">
        <v>77.594994</v>
      </c>
      <c r="R22" s="5" t="s">
        <v>85</v>
      </c>
      <c r="S22" s="3">
        <v>7</v>
      </c>
      <c r="T22" s="3">
        <v>0</v>
      </c>
      <c r="U22" s="3">
        <v>0</v>
      </c>
      <c r="V22" s="3">
        <v>0</v>
      </c>
      <c r="W22" s="3">
        <v>0</v>
      </c>
      <c r="X22" s="3">
        <v>5</v>
      </c>
      <c r="Y22" s="3">
        <v>2</v>
      </c>
      <c r="Z22" s="3">
        <v>0</v>
      </c>
      <c r="AA22" s="3"/>
    </row>
    <row r="23" spans="1:27" x14ac:dyDescent="0.3">
      <c r="A23" s="6">
        <v>21</v>
      </c>
      <c r="B23" s="6" t="s">
        <v>106</v>
      </c>
      <c r="C23" s="6"/>
      <c r="D23" s="6" t="s">
        <v>106</v>
      </c>
      <c r="E23" s="6" t="s">
        <v>125</v>
      </c>
      <c r="F23" s="6"/>
      <c r="G23" s="9" t="str">
        <f>VLOOKUP(K23,[1]Sheet1!$B:$F,5,0)</f>
        <v>https://schnell-s3-image.s3.ap-south-1.amazonaws.com/luminator/6a716840-c46a-11f0-b50a-436d5de0b784.jpg</v>
      </c>
      <c r="H23" s="9" t="str">
        <f t="shared" si="0"/>
        <v>https://schnell-s3-image.s3.ap-south-1.amazonaws.com/luminator/6a716840-c46a-11f0-b50a-436d5de0b784.jpg</v>
      </c>
      <c r="I23" s="6" t="s">
        <v>154</v>
      </c>
      <c r="J23" s="6">
        <v>35</v>
      </c>
      <c r="K23" s="7" t="s">
        <v>47</v>
      </c>
      <c r="L23" s="9" t="s">
        <v>226</v>
      </c>
      <c r="M23" s="9" t="str">
        <f t="shared" si="1"/>
        <v>https://schnell-s3-image.s3.ap-south-1.amazonaws.com/luminator/f8dd12c0-6a03-11f1-95cb-d572b4436cda.jpg</v>
      </c>
      <c r="N23" s="6" t="s">
        <v>245</v>
      </c>
      <c r="O23" s="8" t="s">
        <v>105</v>
      </c>
      <c r="P23" s="4">
        <v>13.025581300000001</v>
      </c>
      <c r="Q23" s="4">
        <v>77.597097899999994</v>
      </c>
      <c r="R23" s="5" t="s">
        <v>86</v>
      </c>
      <c r="S23" s="3">
        <v>2</v>
      </c>
      <c r="T23" s="3">
        <v>2</v>
      </c>
      <c r="U23" s="3">
        <v>0</v>
      </c>
      <c r="V23" s="3">
        <v>0</v>
      </c>
      <c r="W23" s="3">
        <v>0</v>
      </c>
      <c r="X23" s="3">
        <v>20</v>
      </c>
      <c r="Y23" s="3">
        <v>3</v>
      </c>
      <c r="Z23" s="3">
        <v>0</v>
      </c>
      <c r="AA23" s="3"/>
    </row>
    <row r="24" spans="1:27" x14ac:dyDescent="0.3">
      <c r="A24" s="6">
        <v>22</v>
      </c>
      <c r="B24" s="6" t="s">
        <v>106</v>
      </c>
      <c r="C24" s="6"/>
      <c r="D24" s="6" t="s">
        <v>106</v>
      </c>
      <c r="E24" s="6" t="s">
        <v>126</v>
      </c>
      <c r="F24" s="6"/>
      <c r="G24" s="9" t="str">
        <f>VLOOKUP(K24,[1]Sheet1!$B:$F,5,0)</f>
        <v>https://schnell-s3-image.s3.ap-south-1.amazonaws.com/luminator/5d267950-c447-11f0-9374-6b32d9164795.jpg</v>
      </c>
      <c r="H24" s="9" t="str">
        <f t="shared" si="0"/>
        <v>https://schnell-s3-image.s3.ap-south-1.amazonaws.com/luminator/5d267950-c447-11f0-9374-6b32d9164795.jpg</v>
      </c>
      <c r="I24" s="6" t="s">
        <v>155</v>
      </c>
      <c r="J24" s="6">
        <v>10</v>
      </c>
      <c r="K24" s="7" t="s">
        <v>48</v>
      </c>
      <c r="L24" s="9" t="s">
        <v>227</v>
      </c>
      <c r="M24" s="9" t="str">
        <f t="shared" si="1"/>
        <v>https://schnell-s3-image.s3.ap-south-1.amazonaws.com/luminator/0dbcd460-6a21-11f1-a83b-3f85615b6568.jpg</v>
      </c>
      <c r="N24" s="6" t="s">
        <v>245</v>
      </c>
      <c r="O24" s="8" t="s">
        <v>105</v>
      </c>
      <c r="P24" s="4">
        <v>13.0244673</v>
      </c>
      <c r="Q24" s="4">
        <v>77.595537100000001</v>
      </c>
      <c r="R24" s="5" t="s">
        <v>87</v>
      </c>
      <c r="S24" s="3">
        <v>9</v>
      </c>
      <c r="T24" s="3">
        <v>3</v>
      </c>
      <c r="U24" s="3">
        <v>1</v>
      </c>
      <c r="V24" s="3">
        <v>1</v>
      </c>
      <c r="W24" s="3">
        <v>1</v>
      </c>
      <c r="X24" s="3">
        <v>18</v>
      </c>
      <c r="Y24" s="3">
        <v>4</v>
      </c>
      <c r="Z24" s="3">
        <v>0</v>
      </c>
      <c r="AA24" s="3"/>
    </row>
    <row r="25" spans="1:27" x14ac:dyDescent="0.3">
      <c r="A25" s="6">
        <v>23</v>
      </c>
      <c r="B25" s="6">
        <v>127</v>
      </c>
      <c r="C25" s="6"/>
      <c r="D25" s="6" t="s">
        <v>188</v>
      </c>
      <c r="E25" s="6" t="s">
        <v>127</v>
      </c>
      <c r="F25" s="6"/>
      <c r="G25" s="9" t="str">
        <f>VLOOKUP(K25,[1]Sheet1!$B:$F,5,0)</f>
        <v>https://schnell-s3-image.s3.ap-south-1.amazonaws.com/luminator/eed93a40-c465-11f0-b50a-436d5de0b784.jpg</v>
      </c>
      <c r="H25" s="9" t="str">
        <f t="shared" si="0"/>
        <v>https://schnell-s3-image.s3.ap-south-1.amazonaws.com/luminator/eed93a40-c465-11f0-b50a-436d5de0b784.jpg</v>
      </c>
      <c r="I25" s="6" t="s">
        <v>156</v>
      </c>
      <c r="J25" s="6">
        <v>7</v>
      </c>
      <c r="K25" s="7" t="s">
        <v>49</v>
      </c>
      <c r="L25" s="9" t="s">
        <v>228</v>
      </c>
      <c r="M25" s="9" t="str">
        <f t="shared" si="1"/>
        <v>https://schnell-s3-image.s3.ap-south-1.amazonaws.com/luminator/c7b33eb0-6a10-11f1-95cb-d572b4436cda.jpg</v>
      </c>
      <c r="N25" s="6" t="s">
        <v>245</v>
      </c>
      <c r="O25" s="8" t="s">
        <v>105</v>
      </c>
      <c r="P25" s="4">
        <v>13.0271095</v>
      </c>
      <c r="Q25" s="4">
        <v>77.597537099999997</v>
      </c>
      <c r="R25" s="5" t="s">
        <v>88</v>
      </c>
      <c r="S25" s="3">
        <v>12</v>
      </c>
      <c r="T25" s="3">
        <v>5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/>
    </row>
    <row r="26" spans="1:27" x14ac:dyDescent="0.3">
      <c r="A26" s="6">
        <v>24</v>
      </c>
      <c r="B26" s="6">
        <v>237</v>
      </c>
      <c r="C26" s="6"/>
      <c r="D26" s="6" t="s">
        <v>189</v>
      </c>
      <c r="E26" s="6" t="s">
        <v>128</v>
      </c>
      <c r="F26" s="6"/>
      <c r="G26" s="9" t="str">
        <f>VLOOKUP(K26,[1]Sheet1!$B:$F,5,0)</f>
        <v>https://schnell-s3-image.s3.ap-south-1.amazonaws.com/luminator/57276cf0-12dd-11f1-8f17-ab21b56c193d.jpg</v>
      </c>
      <c r="H26" s="9" t="str">
        <f t="shared" si="0"/>
        <v>https://schnell-s3-image.s3.ap-south-1.amazonaws.com/luminator/57276cf0-12dd-11f1-8f17-ab21b56c193d.jpg</v>
      </c>
      <c r="I26" s="6" t="s">
        <v>157</v>
      </c>
      <c r="J26" s="6">
        <v>7</v>
      </c>
      <c r="K26" s="7" t="s">
        <v>50</v>
      </c>
      <c r="L26" s="9" t="s">
        <v>229</v>
      </c>
      <c r="M26" s="9" t="str">
        <f t="shared" si="1"/>
        <v>https://schnell-s3-image.s3.ap-south-1.amazonaws.com/luminator/5e801180-6a2d-11f1-a83b-3f85615b6568.jpg</v>
      </c>
      <c r="N26" s="6" t="s">
        <v>245</v>
      </c>
      <c r="O26" s="8" t="s">
        <v>105</v>
      </c>
      <c r="P26" s="4">
        <v>13.0211351</v>
      </c>
      <c r="Q26" s="4">
        <v>77.592946100000006</v>
      </c>
      <c r="R26" s="5" t="s">
        <v>89</v>
      </c>
      <c r="S26" s="3">
        <v>9</v>
      </c>
      <c r="T26" s="3">
        <v>0</v>
      </c>
      <c r="U26" s="3">
        <v>0</v>
      </c>
      <c r="V26" s="3">
        <v>0</v>
      </c>
      <c r="W26" s="3">
        <v>0</v>
      </c>
      <c r="X26" s="3">
        <v>2</v>
      </c>
      <c r="Y26" s="3">
        <v>0</v>
      </c>
      <c r="Z26" s="3">
        <v>0</v>
      </c>
      <c r="AA26" s="3"/>
    </row>
    <row r="27" spans="1:27" x14ac:dyDescent="0.3">
      <c r="A27" s="6">
        <v>25</v>
      </c>
      <c r="B27" s="6" t="s">
        <v>106</v>
      </c>
      <c r="C27" s="6"/>
      <c r="D27" s="6" t="s">
        <v>190</v>
      </c>
      <c r="E27" s="6" t="s">
        <v>129</v>
      </c>
      <c r="F27" s="6"/>
      <c r="G27" s="9" t="str">
        <f>VLOOKUP(K27,[1]Sheet1!$B:$F,5,0)</f>
        <v>https://schnell-s3-image.s3.ap-south-1.amazonaws.com/luminator/1f44eb40-c455-11f0-9374-6b32d9164795.jpg</v>
      </c>
      <c r="H27" s="9" t="str">
        <f t="shared" si="0"/>
        <v>https://schnell-s3-image.s3.ap-south-1.amazonaws.com/luminator/1f44eb40-c455-11f0-9374-6b32d9164795.jpg</v>
      </c>
      <c r="I27" s="6" t="s">
        <v>158</v>
      </c>
      <c r="J27" s="6">
        <v>19</v>
      </c>
      <c r="K27" s="7" t="s">
        <v>51</v>
      </c>
      <c r="L27" s="9" t="s">
        <v>230</v>
      </c>
      <c r="M27" s="9" t="str">
        <f t="shared" si="1"/>
        <v>https://schnell-s3-image.s3.ap-south-1.amazonaws.com/luminator/c5b852b0-6a08-11f1-95cb-d572b4436cda.jpg</v>
      </c>
      <c r="N27" s="6" t="s">
        <v>245</v>
      </c>
      <c r="O27" s="8" t="s">
        <v>105</v>
      </c>
      <c r="P27" s="4">
        <v>13.025853400000001</v>
      </c>
      <c r="Q27" s="4">
        <v>77.598155700000007</v>
      </c>
      <c r="R27" s="5" t="s">
        <v>90</v>
      </c>
      <c r="S27" s="3">
        <v>9</v>
      </c>
      <c r="T27" s="3">
        <v>3</v>
      </c>
      <c r="U27" s="3">
        <v>1</v>
      </c>
      <c r="V27" s="3">
        <v>1</v>
      </c>
      <c r="W27" s="3">
        <v>1</v>
      </c>
      <c r="X27" s="3">
        <v>5</v>
      </c>
      <c r="Y27" s="3">
        <v>2</v>
      </c>
      <c r="Z27" s="3">
        <v>0</v>
      </c>
      <c r="AA27" s="3"/>
    </row>
    <row r="28" spans="1:27" x14ac:dyDescent="0.3">
      <c r="A28" s="6">
        <v>26</v>
      </c>
      <c r="B28" s="6" t="s">
        <v>106</v>
      </c>
      <c r="C28" s="6"/>
      <c r="D28" s="6" t="s">
        <v>191</v>
      </c>
      <c r="E28" s="6" t="s">
        <v>130</v>
      </c>
      <c r="F28" s="6"/>
      <c r="G28" s="9" t="str">
        <f>VLOOKUP(K28,[1]Sheet1!$B:$F,5,0)</f>
        <v>https://schnell-s3-image.s3.ap-south-1.amazonaws.com/luminator/e5af4440-c44d-11f0-9374-6b32d9164795.jpg</v>
      </c>
      <c r="H28" s="9" t="str">
        <f t="shared" si="0"/>
        <v>https://schnell-s3-image.s3.ap-south-1.amazonaws.com/luminator/e5af4440-c44d-11f0-9374-6b32d9164795.jpg</v>
      </c>
      <c r="I28" s="6" t="s">
        <v>159</v>
      </c>
      <c r="J28" s="6">
        <v>49</v>
      </c>
      <c r="K28" s="7" t="s">
        <v>52</v>
      </c>
      <c r="L28" s="9" t="s">
        <v>231</v>
      </c>
      <c r="M28" s="9" t="str">
        <f t="shared" si="1"/>
        <v>https://schnell-s3-image.s3.ap-south-1.amazonaws.com/luminator/b6c43e70-6a23-11f1-a83b-3f85615b6568.jpg</v>
      </c>
      <c r="N28" s="6" t="s">
        <v>245</v>
      </c>
      <c r="O28" s="8" t="s">
        <v>105</v>
      </c>
      <c r="P28" s="4">
        <v>13.024788900000001</v>
      </c>
      <c r="Q28" s="4">
        <v>77.594378899999995</v>
      </c>
      <c r="R28" s="5" t="s">
        <v>91</v>
      </c>
      <c r="S28" s="3">
        <v>1</v>
      </c>
      <c r="T28" s="3">
        <v>0</v>
      </c>
      <c r="U28" s="3">
        <v>5</v>
      </c>
      <c r="V28" s="3">
        <v>5</v>
      </c>
      <c r="W28" s="3">
        <v>5</v>
      </c>
      <c r="X28" s="3">
        <v>1</v>
      </c>
      <c r="Y28" s="3">
        <v>1</v>
      </c>
      <c r="Z28" s="3">
        <v>0</v>
      </c>
      <c r="AA28" s="3"/>
    </row>
    <row r="29" spans="1:27" x14ac:dyDescent="0.3">
      <c r="A29" s="6">
        <v>27</v>
      </c>
      <c r="B29" s="6" t="s">
        <v>106</v>
      </c>
      <c r="C29" s="6"/>
      <c r="D29" s="6" t="s">
        <v>192</v>
      </c>
      <c r="E29" s="6">
        <v>2293542</v>
      </c>
      <c r="F29" s="6"/>
      <c r="G29" s="9" t="str">
        <f>VLOOKUP(K29,[1]Sheet1!$B:$F,5,0)</f>
        <v>https://schnell-s3-image.s3.ap-south-1.amazonaws.com/luminator/473a7a40-c39a-11f0-90da-c1bf599eebb0.jpg</v>
      </c>
      <c r="H29" s="9" t="str">
        <f t="shared" si="0"/>
        <v>https://schnell-s3-image.s3.ap-south-1.amazonaws.com/luminator/473a7a40-c39a-11f0-90da-c1bf599eebb0.jpg</v>
      </c>
      <c r="I29" s="6" t="s">
        <v>160</v>
      </c>
      <c r="J29" s="6">
        <v>14</v>
      </c>
      <c r="K29" s="7" t="s">
        <v>53</v>
      </c>
      <c r="L29" s="9" t="s">
        <v>232</v>
      </c>
      <c r="M29" s="9" t="str">
        <f t="shared" si="1"/>
        <v>https://schnell-s3-image.s3.ap-south-1.amazonaws.com/luminator/e4cb8c10-6a32-11f1-a83b-3f85615b6568.jpg</v>
      </c>
      <c r="N29" s="6" t="s">
        <v>245</v>
      </c>
      <c r="O29" s="8" t="s">
        <v>105</v>
      </c>
      <c r="P29" s="4">
        <v>13.0194367</v>
      </c>
      <c r="Q29" s="4">
        <v>77.592850200000001</v>
      </c>
      <c r="R29" s="5" t="s">
        <v>92</v>
      </c>
      <c r="S29" s="3">
        <v>5</v>
      </c>
      <c r="T29" s="3">
        <v>0</v>
      </c>
      <c r="U29" s="3">
        <v>0</v>
      </c>
      <c r="V29" s="3">
        <v>0</v>
      </c>
      <c r="W29" s="3">
        <v>0</v>
      </c>
      <c r="X29" s="3">
        <v>6</v>
      </c>
      <c r="Y29" s="3">
        <v>10</v>
      </c>
      <c r="Z29" s="3">
        <v>0</v>
      </c>
      <c r="AA29" s="3"/>
    </row>
    <row r="30" spans="1:27" x14ac:dyDescent="0.3">
      <c r="A30" s="6">
        <v>28</v>
      </c>
      <c r="B30" s="6" t="s">
        <v>106</v>
      </c>
      <c r="C30" s="6"/>
      <c r="D30" s="6" t="s">
        <v>193</v>
      </c>
      <c r="E30" s="6">
        <v>50415187</v>
      </c>
      <c r="F30" s="6"/>
      <c r="G30" s="9" t="str">
        <f>VLOOKUP(K30,[1]Sheet1!$B:$F,5,0)</f>
        <v>https://schnell-s3-image.s3.ap-south-1.amazonaws.com/luminator/257a29d0-c392-11f0-90da-c1bf599eebb0.jpg</v>
      </c>
      <c r="H30" s="9" t="str">
        <f t="shared" si="0"/>
        <v>https://schnell-s3-image.s3.ap-south-1.amazonaws.com/luminator/257a29d0-c392-11f0-90da-c1bf599eebb0.jpg</v>
      </c>
      <c r="I30" s="6" t="s">
        <v>161</v>
      </c>
      <c r="J30" s="6">
        <v>4</v>
      </c>
      <c r="K30" s="7" t="s">
        <v>54</v>
      </c>
      <c r="L30" s="9" t="s">
        <v>233</v>
      </c>
      <c r="M30" s="9" t="str">
        <f t="shared" si="1"/>
        <v>https://schnell-s3-image.s3.ap-south-1.amazonaws.com/luminator/96ae66b0-6a3c-11f1-a83b-3f85615b6568.jpg</v>
      </c>
      <c r="N30" s="6" t="s">
        <v>245</v>
      </c>
      <c r="O30" s="8" t="s">
        <v>105</v>
      </c>
      <c r="P30" s="4">
        <v>13.0179519</v>
      </c>
      <c r="Q30" s="4">
        <v>77.593411500000002</v>
      </c>
      <c r="R30" s="5" t="s">
        <v>93</v>
      </c>
      <c r="S30" s="3">
        <v>3</v>
      </c>
      <c r="T30" s="3">
        <v>2</v>
      </c>
      <c r="U30" s="3">
        <v>0</v>
      </c>
      <c r="V30" s="3">
        <v>0</v>
      </c>
      <c r="W30" s="3">
        <v>0</v>
      </c>
      <c r="X30" s="3">
        <v>20</v>
      </c>
      <c r="Y30" s="3">
        <v>2</v>
      </c>
      <c r="Z30" s="3">
        <v>0</v>
      </c>
      <c r="AA30" s="3"/>
    </row>
    <row r="31" spans="1:27" x14ac:dyDescent="0.3">
      <c r="A31" s="6">
        <v>29</v>
      </c>
      <c r="B31" s="6" t="s">
        <v>106</v>
      </c>
      <c r="C31" s="6"/>
      <c r="D31" s="6" t="s">
        <v>106</v>
      </c>
      <c r="E31" s="6" t="s">
        <v>106</v>
      </c>
      <c r="F31" s="6"/>
      <c r="G31" s="9" t="str">
        <f>VLOOKUP(K31,[1]Sheet1!$B:$F,5,0)</f>
        <v>https://schnell-s3-image.s3.ap-south-1.amazonaws.com/luminator/9c999c90-c5e9-11f0-897e-21605510169d.jpg</v>
      </c>
      <c r="H31" s="9" t="str">
        <f t="shared" si="0"/>
        <v>https://schnell-s3-image.s3.ap-south-1.amazonaws.com/luminator/9c999c90-c5e9-11f0-897e-21605510169d.jpg</v>
      </c>
      <c r="I31" s="6" t="s">
        <v>162</v>
      </c>
      <c r="J31" s="6">
        <v>14</v>
      </c>
      <c r="K31" s="7" t="s">
        <v>55</v>
      </c>
      <c r="L31" s="9" t="s">
        <v>234</v>
      </c>
      <c r="M31" s="9" t="str">
        <f t="shared" si="1"/>
        <v>https://schnell-s3-image.s3.ap-south-1.amazonaws.com/luminator/b0b9b0e0-6a0b-11f1-95cb-d572b4436cda.jpg</v>
      </c>
      <c r="N31" s="6" t="s">
        <v>245</v>
      </c>
      <c r="O31" s="8" t="s">
        <v>105</v>
      </c>
      <c r="P31" s="4">
        <v>13.026655999999999</v>
      </c>
      <c r="Q31" s="4">
        <v>77.597200299999997</v>
      </c>
      <c r="R31" s="5" t="s">
        <v>94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7</v>
      </c>
      <c r="Y31" s="3">
        <v>0</v>
      </c>
      <c r="Z31" s="3">
        <v>0</v>
      </c>
      <c r="AA31" s="3"/>
    </row>
    <row r="32" spans="1:27" x14ac:dyDescent="0.3">
      <c r="A32" s="6">
        <v>30</v>
      </c>
      <c r="B32" s="6">
        <v>12</v>
      </c>
      <c r="C32" s="6"/>
      <c r="D32" s="6" t="s">
        <v>194</v>
      </c>
      <c r="E32" s="6" t="s">
        <v>131</v>
      </c>
      <c r="F32" s="6"/>
      <c r="G32" s="9" t="str">
        <f>VLOOKUP(K32,[1]Sheet1!$B:$F,5,0)</f>
        <v>https://schnell-s3-image.s3.ap-south-1.amazonaws.com/luminator/12459540-c377-11f0-90da-c1bf599eebb0.jpg</v>
      </c>
      <c r="H32" s="9" t="str">
        <f t="shared" si="0"/>
        <v>https://schnell-s3-image.s3.ap-south-1.amazonaws.com/luminator/12459540-c377-11f0-90da-c1bf599eebb0.jpg</v>
      </c>
      <c r="I32" s="6" t="s">
        <v>163</v>
      </c>
      <c r="J32" s="6">
        <v>3</v>
      </c>
      <c r="K32" s="7" t="s">
        <v>56</v>
      </c>
      <c r="L32" s="9" t="s">
        <v>235</v>
      </c>
      <c r="M32" s="9" t="str">
        <f t="shared" si="1"/>
        <v>https://schnell-s3-image.s3.ap-south-1.amazonaws.com/luminator/b19c7620-6a13-11f1-95cb-d572b4436cda.jpg</v>
      </c>
      <c r="N32" s="6" t="s">
        <v>245</v>
      </c>
      <c r="O32" s="8" t="s">
        <v>106</v>
      </c>
      <c r="P32" s="4">
        <v>13.0273121</v>
      </c>
      <c r="Q32" s="4">
        <v>77.596794500000001</v>
      </c>
      <c r="R32" s="5" t="s">
        <v>95</v>
      </c>
      <c r="S32" s="3">
        <v>9</v>
      </c>
      <c r="T32" s="3">
        <v>24</v>
      </c>
      <c r="U32" s="3">
        <v>0</v>
      </c>
      <c r="V32" s="3">
        <v>0</v>
      </c>
      <c r="W32" s="3">
        <v>0</v>
      </c>
      <c r="X32" s="3">
        <v>7</v>
      </c>
      <c r="Y32" s="3">
        <v>9</v>
      </c>
      <c r="Z32" s="3">
        <v>0</v>
      </c>
      <c r="AA32" s="3"/>
    </row>
    <row r="33" spans="1:27" x14ac:dyDescent="0.3">
      <c r="A33" s="6">
        <v>31</v>
      </c>
      <c r="B33" s="6" t="s">
        <v>106</v>
      </c>
      <c r="C33" s="6"/>
      <c r="D33" s="6" t="s">
        <v>195</v>
      </c>
      <c r="E33" s="6">
        <v>4441889</v>
      </c>
      <c r="F33" s="6"/>
      <c r="G33" s="9" t="str">
        <f>VLOOKUP(K33,[1]Sheet1!$B:$F,5,0)</f>
        <v>https://schnell-s3-image.s3.ap-south-1.amazonaws.com/luminator/f2dc9190-c38a-11f0-90da-c1bf599eebb0.jpg</v>
      </c>
      <c r="H33" s="9" t="str">
        <f t="shared" si="0"/>
        <v>https://schnell-s3-image.s3.ap-south-1.amazonaws.com/luminator/f2dc9190-c38a-11f0-90da-c1bf599eebb0.jpg</v>
      </c>
      <c r="I33" s="6" t="s">
        <v>164</v>
      </c>
      <c r="J33" s="6">
        <v>25</v>
      </c>
      <c r="K33" s="7" t="s">
        <v>57</v>
      </c>
      <c r="L33" s="9" t="s">
        <v>236</v>
      </c>
      <c r="M33" s="9" t="str">
        <f t="shared" si="1"/>
        <v>https://schnell-s3-image.s3.ap-south-1.amazonaws.com/luminator/2d11afd0-6a39-11f1-a83b-3f85615b6568.jpg</v>
      </c>
      <c r="N33" s="6" t="s">
        <v>245</v>
      </c>
      <c r="O33" s="8" t="s">
        <v>105</v>
      </c>
      <c r="P33" s="4">
        <v>13.0182541</v>
      </c>
      <c r="Q33" s="4">
        <v>77.592520800000003</v>
      </c>
      <c r="R33" s="5" t="s">
        <v>96</v>
      </c>
      <c r="S33" s="3">
        <v>0</v>
      </c>
      <c r="T33" s="3">
        <v>6</v>
      </c>
      <c r="U33" s="3">
        <v>0</v>
      </c>
      <c r="V33" s="3">
        <v>0</v>
      </c>
      <c r="W33" s="3">
        <v>0</v>
      </c>
      <c r="X33" s="3">
        <v>12</v>
      </c>
      <c r="Y33" s="3">
        <v>4</v>
      </c>
      <c r="Z33" s="3">
        <v>0</v>
      </c>
      <c r="AA33" s="3"/>
    </row>
    <row r="34" spans="1:27" x14ac:dyDescent="0.3">
      <c r="A34" s="6">
        <v>32</v>
      </c>
      <c r="B34" s="6" t="s">
        <v>106</v>
      </c>
      <c r="C34" s="6"/>
      <c r="D34" s="6" t="s">
        <v>196</v>
      </c>
      <c r="E34" s="6" t="s">
        <v>106</v>
      </c>
      <c r="F34" s="6"/>
      <c r="G34" s="9" t="str">
        <f>VLOOKUP(K34,[1]Sheet1!$B:$F,5,0)</f>
        <v>https://schnell-s3-image.s3.ap-south-1.amazonaws.com/luminator/217f0530-c383-11f0-90da-c1bf599eebb0.jpg</v>
      </c>
      <c r="H34" s="9" t="str">
        <f t="shared" si="0"/>
        <v>https://schnell-s3-image.s3.ap-south-1.amazonaws.com/luminator/217f0530-c383-11f0-90da-c1bf599eebb0.jpg</v>
      </c>
      <c r="I34" s="6" t="s">
        <v>165</v>
      </c>
      <c r="J34" s="6">
        <v>22</v>
      </c>
      <c r="K34" s="7" t="s">
        <v>58</v>
      </c>
      <c r="L34" s="9" t="s">
        <v>237</v>
      </c>
      <c r="M34" s="9" t="str">
        <f t="shared" si="1"/>
        <v>https://schnell-s3-image.s3.ap-south-1.amazonaws.com/luminator/a44f7ee0-6bb2-11f1-9424-b5e8e8c92fae.jpg</v>
      </c>
      <c r="N34" s="6" t="s">
        <v>245</v>
      </c>
      <c r="O34" s="8" t="s">
        <v>107</v>
      </c>
      <c r="P34" s="4">
        <v>13.0169944</v>
      </c>
      <c r="Q34" s="4">
        <v>77.594809499999997</v>
      </c>
      <c r="R34" s="5" t="s">
        <v>97</v>
      </c>
      <c r="S34" s="3">
        <v>0</v>
      </c>
      <c r="T34" s="3">
        <v>3</v>
      </c>
      <c r="U34" s="3">
        <v>0</v>
      </c>
      <c r="V34" s="3">
        <v>0</v>
      </c>
      <c r="W34" s="3">
        <v>0</v>
      </c>
      <c r="X34" s="3">
        <v>8</v>
      </c>
      <c r="Y34" s="3">
        <v>1</v>
      </c>
      <c r="Z34" s="3">
        <v>0</v>
      </c>
      <c r="AA34" s="3"/>
    </row>
    <row r="35" spans="1:27" x14ac:dyDescent="0.3">
      <c r="A35" s="6">
        <v>33</v>
      </c>
      <c r="B35" s="6">
        <v>33</v>
      </c>
      <c r="C35" s="6"/>
      <c r="D35" s="6" t="s">
        <v>197</v>
      </c>
      <c r="E35" s="6">
        <v>52482977</v>
      </c>
      <c r="F35" s="6"/>
      <c r="G35" s="9" t="str">
        <f>VLOOKUP(K35,[1]Sheet1!$B:$F,5,0)</f>
        <v>https://schnell-s3-image.s3.ap-south-1.amazonaws.com/luminator/cc6ec600-c37f-11f0-90da-c1bf599eebb0.jpg</v>
      </c>
      <c r="H35" s="9" t="str">
        <f t="shared" si="0"/>
        <v>https://schnell-s3-image.s3.ap-south-1.amazonaws.com/luminator/cc6ec600-c37f-11f0-90da-c1bf599eebb0.jpg</v>
      </c>
      <c r="I35" s="6" t="s">
        <v>166</v>
      </c>
      <c r="J35" s="6">
        <v>8</v>
      </c>
      <c r="K35" s="7" t="s">
        <v>59</v>
      </c>
      <c r="L35" s="9" t="s">
        <v>238</v>
      </c>
      <c r="M35" s="9" t="str">
        <f t="shared" si="1"/>
        <v>https://schnell-s3-image.s3.ap-south-1.amazonaws.com/luminator/cb4c58f0-6b9a-11f1-9acb-3722365f48b7.jpg</v>
      </c>
      <c r="N35" s="6" t="s">
        <v>245</v>
      </c>
      <c r="O35" s="8" t="s">
        <v>105</v>
      </c>
      <c r="P35" s="4">
        <v>13.017568799999999</v>
      </c>
      <c r="Q35" s="4">
        <v>77.592694100000003</v>
      </c>
      <c r="R35" s="5" t="s">
        <v>98</v>
      </c>
      <c r="S35" s="3">
        <v>0</v>
      </c>
      <c r="T35" s="3">
        <v>8</v>
      </c>
      <c r="U35" s="3">
        <v>0</v>
      </c>
      <c r="V35" s="3">
        <v>0</v>
      </c>
      <c r="W35" s="3">
        <v>0</v>
      </c>
      <c r="X35" s="3">
        <v>16</v>
      </c>
      <c r="Y35" s="3">
        <v>0</v>
      </c>
      <c r="Z35" s="3">
        <v>0</v>
      </c>
      <c r="AA35" s="3"/>
    </row>
    <row r="36" spans="1:27" x14ac:dyDescent="0.3">
      <c r="A36" s="6">
        <v>34</v>
      </c>
      <c r="B36" s="6" t="s">
        <v>106</v>
      </c>
      <c r="C36" s="6"/>
      <c r="D36" s="6" t="s">
        <v>198</v>
      </c>
      <c r="E36" s="6">
        <v>2923548</v>
      </c>
      <c r="F36" s="6"/>
      <c r="G36" s="9" t="str">
        <f>VLOOKUP(K36,[1]Sheet1!$B:$F,5,0)</f>
        <v>https://schnell-s3-image.s3.ap-south-1.amazonaws.com/luminator/0f5dbac0-c37b-11f0-90da-c1bf599eebb0.jpg</v>
      </c>
      <c r="H36" s="9" t="str">
        <f t="shared" si="0"/>
        <v>https://schnell-s3-image.s3.ap-south-1.amazonaws.com/luminator/0f5dbac0-c37b-11f0-90da-c1bf599eebb0.jpg</v>
      </c>
      <c r="I36" s="6" t="s">
        <v>167</v>
      </c>
      <c r="J36" s="6">
        <v>8</v>
      </c>
      <c r="K36" s="7" t="s">
        <v>60</v>
      </c>
      <c r="L36" s="9" t="s">
        <v>239</v>
      </c>
      <c r="M36" s="9" t="str">
        <f t="shared" si="1"/>
        <v>https://schnell-s3-image.s3.ap-south-1.amazonaws.com/luminator/f5567760-6ba0-11f1-9acb-3722365f48b7.jpg</v>
      </c>
      <c r="N36" s="6" t="s">
        <v>245</v>
      </c>
      <c r="O36" s="8" t="s">
        <v>105</v>
      </c>
      <c r="P36" s="4">
        <v>13.016480899999999</v>
      </c>
      <c r="Q36" s="4">
        <v>77.593023700000003</v>
      </c>
      <c r="R36" s="5" t="s">
        <v>99</v>
      </c>
      <c r="S36" s="3">
        <v>0</v>
      </c>
      <c r="T36" s="3">
        <v>1</v>
      </c>
      <c r="U36" s="3">
        <v>0</v>
      </c>
      <c r="V36" s="3">
        <v>0</v>
      </c>
      <c r="W36" s="3">
        <v>0</v>
      </c>
      <c r="X36" s="3">
        <v>20</v>
      </c>
      <c r="Y36" s="3">
        <v>0</v>
      </c>
      <c r="Z36" s="3">
        <v>0</v>
      </c>
      <c r="AA36" s="3"/>
    </row>
    <row r="37" spans="1:27" x14ac:dyDescent="0.3">
      <c r="A37" s="6">
        <v>35</v>
      </c>
      <c r="B37" s="6">
        <v>107</v>
      </c>
      <c r="C37" s="6"/>
      <c r="D37" s="6" t="s">
        <v>199</v>
      </c>
      <c r="E37" s="6">
        <v>1940943</v>
      </c>
      <c r="F37" s="6"/>
      <c r="G37" s="9" t="str">
        <f>VLOOKUP(K37,[1]Sheet1!$B:$F,5,0)</f>
        <v>https://schnell-s3-image.s3.ap-south-1.amazonaws.com/luminator/2594fd70-c395-11f0-90da-c1bf599eebb0.jpg</v>
      </c>
      <c r="H37" s="9" t="str">
        <f t="shared" si="0"/>
        <v>https://schnell-s3-image.s3.ap-south-1.amazonaws.com/luminator/2594fd70-c395-11f0-90da-c1bf599eebb0.jpg</v>
      </c>
      <c r="I37" s="6" t="s">
        <v>168</v>
      </c>
      <c r="J37" s="6">
        <v>11</v>
      </c>
      <c r="K37" s="7" t="s">
        <v>61</v>
      </c>
      <c r="L37" s="9" t="s">
        <v>240</v>
      </c>
      <c r="M37" s="9" t="str">
        <f t="shared" si="1"/>
        <v>https://schnell-s3-image.s3.ap-south-1.amazonaws.com/luminator/1a2b4180-6bae-11f1-9424-b5e8e8c92fae.jpg</v>
      </c>
      <c r="N37" s="6" t="s">
        <v>245</v>
      </c>
      <c r="O37" s="8" t="s">
        <v>105</v>
      </c>
      <c r="P37" s="4">
        <v>13.017944999999999</v>
      </c>
      <c r="Q37" s="4">
        <v>77.594325900000001</v>
      </c>
      <c r="R37" s="5" t="s">
        <v>100</v>
      </c>
      <c r="S37" s="3">
        <v>4</v>
      </c>
      <c r="T37" s="3">
        <v>0</v>
      </c>
      <c r="U37" s="3">
        <v>0</v>
      </c>
      <c r="V37" s="3">
        <v>0</v>
      </c>
      <c r="W37" s="3">
        <v>0</v>
      </c>
      <c r="X37" s="3">
        <v>6</v>
      </c>
      <c r="Y37" s="3">
        <v>2</v>
      </c>
      <c r="Z37" s="3">
        <v>0</v>
      </c>
      <c r="AA37" s="3"/>
    </row>
    <row r="38" spans="1:27" x14ac:dyDescent="0.3">
      <c r="A38" s="6">
        <v>36</v>
      </c>
      <c r="B38" s="6" t="s">
        <v>106</v>
      </c>
      <c r="C38" s="6"/>
      <c r="D38" s="6" t="s">
        <v>200</v>
      </c>
      <c r="E38" s="6">
        <v>2923473</v>
      </c>
      <c r="F38" s="6"/>
      <c r="G38" s="9" t="str">
        <f>VLOOKUP(K38,[1]Sheet1!$B:$F,5,0)</f>
        <v>https://schnell-s3-image.s3.ap-south-1.amazonaws.com/luminator/063519f0-c387-11f0-90da-c1bf599eebb0.jpg</v>
      </c>
      <c r="H38" s="9" t="str">
        <f t="shared" si="0"/>
        <v>https://schnell-s3-image.s3.ap-south-1.amazonaws.com/luminator/063519f0-c387-11f0-90da-c1bf599eebb0.jpg</v>
      </c>
      <c r="I38" s="6" t="s">
        <v>169</v>
      </c>
      <c r="J38" s="6">
        <v>151</v>
      </c>
      <c r="K38" s="7" t="s">
        <v>62</v>
      </c>
      <c r="L38" s="9" t="s">
        <v>241</v>
      </c>
      <c r="M38" s="9" t="str">
        <f t="shared" si="1"/>
        <v>https://schnell-s3-image.s3.ap-south-1.amazonaws.com/luminator/ba5441e0-6bb6-11f1-9424-b5e8e8c92fae.jpg</v>
      </c>
      <c r="N38" s="6" t="s">
        <v>245</v>
      </c>
      <c r="O38" s="8" t="s">
        <v>105</v>
      </c>
      <c r="P38" s="4">
        <v>13.0164904</v>
      </c>
      <c r="Q38" s="4">
        <v>77.594080500000004</v>
      </c>
      <c r="R38" s="5" t="s">
        <v>101</v>
      </c>
      <c r="S38" s="3">
        <v>0</v>
      </c>
      <c r="T38" s="3">
        <v>3</v>
      </c>
      <c r="U38" s="3">
        <v>0</v>
      </c>
      <c r="V38" s="3">
        <v>0</v>
      </c>
      <c r="W38" s="3">
        <v>0</v>
      </c>
      <c r="X38" s="3">
        <v>25</v>
      </c>
      <c r="Y38" s="3">
        <v>1</v>
      </c>
      <c r="Z38" s="3">
        <v>0</v>
      </c>
      <c r="AA38" s="3"/>
    </row>
    <row r="39" spans="1:27" x14ac:dyDescent="0.3">
      <c r="A39" s="6">
        <v>37</v>
      </c>
      <c r="B39" s="6" t="s">
        <v>106</v>
      </c>
      <c r="C39" s="6"/>
      <c r="D39" s="6" t="s">
        <v>201</v>
      </c>
      <c r="E39" s="6" t="s">
        <v>106</v>
      </c>
      <c r="F39" s="6"/>
      <c r="G39" s="9" t="str">
        <f>VLOOKUP(K39,[1]Sheet1!$B:$F,5,0)</f>
        <v>https://schnell-s3-image.s3.ap-south-1.amazonaws.com/luminator/12459540-c377-11f0-90da-c1bf599eebb0.jpg</v>
      </c>
      <c r="H39" s="9" t="str">
        <f t="shared" si="0"/>
        <v>https://schnell-s3-image.s3.ap-south-1.amazonaws.com/luminator/12459540-c377-11f0-90da-c1bf599eebb0.jpg</v>
      </c>
      <c r="I39" s="6" t="s">
        <v>170</v>
      </c>
      <c r="J39" s="6">
        <v>2</v>
      </c>
      <c r="K39" s="7" t="s">
        <v>63</v>
      </c>
      <c r="L39" s="9" t="s">
        <v>242</v>
      </c>
      <c r="M39" s="9" t="str">
        <f t="shared" si="1"/>
        <v>https://schnell-s3-image.s3.ap-south-1.amazonaws.com/luminator/64a484d0-6ba7-11f1-9424-b5e8e8c92fae.jpg</v>
      </c>
      <c r="N39" s="6" t="s">
        <v>245</v>
      </c>
      <c r="O39" s="8" t="s">
        <v>105</v>
      </c>
      <c r="P39" s="4">
        <v>13.017099999999999</v>
      </c>
      <c r="Q39" s="4">
        <v>77.591825</v>
      </c>
      <c r="R39" s="5" t="s">
        <v>102</v>
      </c>
      <c r="S39" s="3">
        <v>0</v>
      </c>
      <c r="T39" s="3">
        <v>1</v>
      </c>
      <c r="U39" s="3">
        <v>0</v>
      </c>
      <c r="V39" s="3">
        <v>0</v>
      </c>
      <c r="W39" s="3">
        <v>0</v>
      </c>
      <c r="X39" s="3">
        <v>22</v>
      </c>
      <c r="Y39" s="3">
        <v>4</v>
      </c>
      <c r="Z39" s="3">
        <v>0</v>
      </c>
      <c r="AA39" s="3"/>
    </row>
    <row r="40" spans="1:27" x14ac:dyDescent="0.3">
      <c r="A40" s="6">
        <v>38</v>
      </c>
      <c r="B40" s="6">
        <v>74</v>
      </c>
      <c r="C40" s="6"/>
      <c r="D40" s="6" t="s">
        <v>202</v>
      </c>
      <c r="E40" s="6" t="s">
        <v>132</v>
      </c>
      <c r="F40" s="6"/>
      <c r="G40" s="9" t="str">
        <f>VLOOKUP(K40,[1]Sheet1!$B:$F,5,0)</f>
        <v>https://schnell-s3-image.s3.ap-south-1.amazonaws.com/luminator/dab56c40-c461-11f0-9374-6b32d9164795.jpg</v>
      </c>
      <c r="H40" s="9" t="str">
        <f t="shared" si="0"/>
        <v>https://schnell-s3-image.s3.ap-south-1.amazonaws.com/luminator/dab56c40-c461-11f0-9374-6b32d9164795.jpg</v>
      </c>
      <c r="I40" s="6" t="s">
        <v>171</v>
      </c>
      <c r="J40" s="6">
        <v>11</v>
      </c>
      <c r="K40" s="7" t="s">
        <v>64</v>
      </c>
      <c r="L40" s="9" t="s">
        <v>243</v>
      </c>
      <c r="M40" s="9" t="str">
        <f t="shared" si="1"/>
        <v>https://schnell-s3-image.s3.ap-south-1.amazonaws.com/luminator/0b532b70-6e13-11f1-962f-9bceaa3ca2c2.jpg</v>
      </c>
      <c r="N40" s="6" t="s">
        <v>245</v>
      </c>
      <c r="O40" s="8" t="s">
        <v>105</v>
      </c>
      <c r="P40" s="4">
        <v>13.026551700000001</v>
      </c>
      <c r="Q40" s="4">
        <v>77.599548299999995</v>
      </c>
      <c r="R40" s="5" t="s">
        <v>103</v>
      </c>
      <c r="S40" s="3">
        <v>28</v>
      </c>
      <c r="T40" s="3">
        <v>3</v>
      </c>
      <c r="U40" s="3">
        <v>0</v>
      </c>
      <c r="V40" s="3">
        <v>0</v>
      </c>
      <c r="W40" s="3">
        <v>0</v>
      </c>
      <c r="X40" s="3">
        <v>3</v>
      </c>
      <c r="Y40" s="3">
        <v>2</v>
      </c>
      <c r="Z40" s="3">
        <v>0</v>
      </c>
      <c r="AA40" s="3"/>
    </row>
    <row r="41" spans="1:27" x14ac:dyDescent="0.3">
      <c r="A41" s="6">
        <v>39</v>
      </c>
      <c r="B41" s="6">
        <v>40</v>
      </c>
      <c r="C41" s="6"/>
      <c r="D41" s="6" t="s">
        <v>203</v>
      </c>
      <c r="E41" s="6" t="s">
        <v>133</v>
      </c>
      <c r="F41" s="6"/>
      <c r="G41" s="9" t="str">
        <f>VLOOKUP(K41,[1]Sheet1!$B:$F,5,0)</f>
        <v>https://schnell-s3-image.s3.ap-south-1.amazonaws.com/luminator/10fc1050-c45e-11f0-9374-6b32d9164795.jpg</v>
      </c>
      <c r="H41" s="9" t="str">
        <f t="shared" si="0"/>
        <v>https://schnell-s3-image.s3.ap-south-1.amazonaws.com/luminator/10fc1050-c45e-11f0-9374-6b32d9164795.jpg</v>
      </c>
      <c r="I41" s="6" t="s">
        <v>172</v>
      </c>
      <c r="J41" s="6">
        <v>22</v>
      </c>
      <c r="K41" s="7" t="s">
        <v>65</v>
      </c>
      <c r="L41" s="9" t="s">
        <v>244</v>
      </c>
      <c r="M41" s="9" t="str">
        <f t="shared" si="1"/>
        <v>https://schnell-s3-image.s3.ap-south-1.amazonaws.com/luminator/549b1ab0-6e0c-11f1-8320-6dccf2ac6a38.jpg</v>
      </c>
      <c r="N41" s="6" t="s">
        <v>245</v>
      </c>
      <c r="O41" s="8" t="s">
        <v>105</v>
      </c>
      <c r="P41" s="4">
        <v>13.026277199999999</v>
      </c>
      <c r="Q41" s="4">
        <v>77.599172999999993</v>
      </c>
      <c r="R41" s="5" t="s">
        <v>104</v>
      </c>
      <c r="S41" s="3">
        <v>10</v>
      </c>
      <c r="T41" s="3">
        <v>12</v>
      </c>
      <c r="U41" s="3">
        <v>0</v>
      </c>
      <c r="V41" s="3">
        <v>0</v>
      </c>
      <c r="W41" s="3">
        <v>0</v>
      </c>
      <c r="X41" s="3">
        <v>4</v>
      </c>
      <c r="Y41" s="3">
        <v>3</v>
      </c>
      <c r="Z41" s="3">
        <v>0</v>
      </c>
      <c r="AA41" s="3"/>
    </row>
  </sheetData>
  <mergeCells count="2">
    <mergeCell ref="A1:G1"/>
    <mergeCell ref="I1:AA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W66 - FINAL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schlap0036@hotmail.com</dc:creator>
  <cp:lastModifiedBy>Venkatesh Dhanabalan</cp:lastModifiedBy>
  <dcterms:created xsi:type="dcterms:W3CDTF">2026-09-22T06:36:00Z</dcterms:created>
  <dcterms:modified xsi:type="dcterms:W3CDTF">2026-10-21T12:17:11Z</dcterms:modified>
</cp:coreProperties>
</file>