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F1012D8-66CF-4A6A-B989-D93C9AFAE560}" xr6:coauthVersionLast="47" xr6:coauthVersionMax="47" xr10:uidLastSave="{00000000-0000-0000-0000-000000000000}"/>
  <bookViews>
    <workbookView xWindow="-108" yWindow="-108" windowWidth="23256" windowHeight="12456" xr2:uid="{A69708CB-144A-40DD-87F2-CB0751B3AA6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2" i="1" l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<sst xmlns="http://schemas.openxmlformats.org/spreadsheetml/2006/main" count="494" uniqueCount="366">
  <si>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</si>
  <si>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</si>
  <si>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</si>
  <si>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</si>
  <si>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</si>
  <si>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</si>
  <si>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</si>
  <si>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</si>
  <si>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</si>
  <si>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</si>
  <si>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</si>
  <si>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</si>
  <si>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</si>
  <si>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</si>
  <si>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</si>
  <si>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</si>
  <si>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</si>
  <si>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</si>
  <si>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</si>
  <si>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</si>
  <si>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</si>
  <si>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</si>
  <si>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</si>
  <si>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</si>
  <si>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</si>
  <si>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</si>
  <si>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</si>
  <si>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SSC107SM00083</t>
  </si>
  <si>
    <t>SSC107SM00221</t>
  </si>
  <si>
    <t>SSC107SM00034</t>
  </si>
  <si>
    <t>SSC107SM00059</t>
  </si>
  <si>
    <t>SSC107SM00106</t>
  </si>
  <si>
    <t>SSC107SM00111</t>
  </si>
  <si>
    <t>SSC107SM00126</t>
  </si>
  <si>
    <t>SSC107SM00135</t>
  </si>
  <si>
    <t>SSC107SM00145</t>
  </si>
  <si>
    <t>SSC107SM00148</t>
  </si>
  <si>
    <t>SSC107SM00167</t>
  </si>
  <si>
    <t>SSC107SM00170</t>
  </si>
  <si>
    <t>SSC107SM00171</t>
  </si>
  <si>
    <t>SSC107SM00218</t>
  </si>
  <si>
    <t>SSC107SM00267</t>
  </si>
  <si>
    <t>SSC107SM00313</t>
  </si>
  <si>
    <t>SSC107SM00317</t>
  </si>
  <si>
    <t>SSC107SM00324</t>
  </si>
  <si>
    <t>SSC107SM00332</t>
  </si>
  <si>
    <t>SSC107SM00509</t>
  </si>
  <si>
    <t>SSC107SM00561</t>
  </si>
  <si>
    <t>SSC107SM00566</t>
  </si>
  <si>
    <t>SSC107SM00568</t>
  </si>
  <si>
    <t>SSC107SM00575</t>
  </si>
  <si>
    <t>SSC107SM00581</t>
  </si>
  <si>
    <t>SSC107SM00226</t>
  </si>
  <si>
    <t>SSC107SM00503</t>
  </si>
  <si>
    <t>SSC107SM00515</t>
  </si>
  <si>
    <t>SSC107SM00530</t>
  </si>
  <si>
    <t>SSC107SM00551</t>
  </si>
  <si>
    <t>SSC107SM00556</t>
  </si>
  <si>
    <t>SSC107SM00577</t>
  </si>
  <si>
    <t>SSC107SM00585</t>
  </si>
  <si>
    <t>SSC107SM00589</t>
  </si>
  <si>
    <t>SSC107SM00602</t>
  </si>
  <si>
    <t>SSC107SM01910</t>
  </si>
  <si>
    <t>SSC107SM01899</t>
  </si>
  <si>
    <t>SSC107SM01869</t>
  </si>
  <si>
    <t>SSC107SM01826</t>
  </si>
  <si>
    <t>SSC107SM01909</t>
  </si>
  <si>
    <t>SSC107SM02325</t>
  </si>
  <si>
    <t>SSC107SM01974</t>
  </si>
  <si>
    <t>SSC107SM01822</t>
  </si>
  <si>
    <t>SSC107SM01908</t>
  </si>
  <si>
    <t>SSC107SM02546</t>
  </si>
  <si>
    <t>SSC107SM02517</t>
  </si>
  <si>
    <t>SSC107SM02511</t>
  </si>
  <si>
    <t>SSC107SM02491</t>
  </si>
  <si>
    <t>SSC107SM02539</t>
  </si>
  <si>
    <t>SSC107SM02576</t>
  </si>
  <si>
    <t>SSC107SM02573</t>
  </si>
  <si>
    <t>SSC107SM04168</t>
  </si>
  <si>
    <t>SSC107SM04446</t>
  </si>
  <si>
    <t>SSC107SM04237</t>
  </si>
  <si>
    <t>SSC107SM04418</t>
  </si>
  <si>
    <t>SSC107SM04435</t>
  </si>
  <si>
    <t>SSC107SM04471</t>
  </si>
  <si>
    <t>SSC107SM05018</t>
  </si>
  <si>
    <t>SSC107SM05050</t>
  </si>
  <si>
    <t>SSC107SM05145</t>
  </si>
  <si>
    <t>BD0466275</t>
  </si>
  <si>
    <t>BD0625831</t>
  </si>
  <si>
    <t>BD0273445</t>
  </si>
  <si>
    <t>BD0022293</t>
  </si>
  <si>
    <t>A2631236</t>
  </si>
  <si>
    <t>BD0602534</t>
  </si>
  <si>
    <t>BC1430292</t>
  </si>
  <si>
    <t>BD1013825</t>
  </si>
  <si>
    <t>BC3248779</t>
  </si>
  <si>
    <t>BD0943777</t>
  </si>
  <si>
    <t>BD1025682</t>
  </si>
  <si>
    <t>BD1014465</t>
  </si>
  <si>
    <t>BD0943778</t>
  </si>
  <si>
    <t>BD0022301</t>
  </si>
  <si>
    <t>BD0068503</t>
  </si>
  <si>
    <t>A4921555</t>
  </si>
  <si>
    <t>BO1115398</t>
  </si>
  <si>
    <t>A40021974</t>
  </si>
  <si>
    <t>BD0050396</t>
  </si>
  <si>
    <t>BC1133227</t>
  </si>
  <si>
    <t>BD0050394</t>
  </si>
  <si>
    <t>BD0623618</t>
  </si>
  <si>
    <t>BD0602116</t>
  </si>
  <si>
    <t>BC2282323</t>
  </si>
  <si>
    <t>A2366442</t>
  </si>
  <si>
    <t>BD0127805</t>
  </si>
  <si>
    <t>BD0049821</t>
  </si>
  <si>
    <t>BTSL90</t>
  </si>
  <si>
    <t>A263329</t>
  </si>
  <si>
    <t>BD0466271</t>
  </si>
  <si>
    <t>BD0602114</t>
  </si>
  <si>
    <t>D421156</t>
  </si>
  <si>
    <t>BD100059</t>
  </si>
  <si>
    <t>TC114</t>
  </si>
  <si>
    <t>TC25</t>
  </si>
  <si>
    <t>-</t>
  </si>
  <si>
    <t>TC96</t>
  </si>
  <si>
    <t>TC93</t>
  </si>
  <si>
    <t>C413SL84</t>
  </si>
  <si>
    <t>C4SL1339</t>
  </si>
  <si>
    <t>C413SL105</t>
  </si>
  <si>
    <t>C413SL28</t>
  </si>
  <si>
    <t>C4SL28A</t>
  </si>
  <si>
    <t>BTSL23</t>
  </si>
  <si>
    <t>BTSL22/A</t>
  </si>
  <si>
    <t>C413SL60</t>
  </si>
  <si>
    <t>C413SL123</t>
  </si>
  <si>
    <t>C4SL28C</t>
  </si>
  <si>
    <t>C04SL60</t>
  </si>
  <si>
    <t>C413SL198</t>
  </si>
  <si>
    <t>114B</t>
  </si>
  <si>
    <t>C4S43PAA</t>
  </si>
  <si>
    <t>C4SL1332</t>
  </si>
  <si>
    <t>CHSL67A</t>
  </si>
  <si>
    <t>C413SL14</t>
  </si>
  <si>
    <t>C413SL24</t>
  </si>
  <si>
    <t>C4SL24</t>
  </si>
  <si>
    <t>BTCSL25B</t>
  </si>
  <si>
    <t>S34193CL</t>
  </si>
  <si>
    <t>BTSL-438</t>
  </si>
  <si>
    <t>BTSL25A</t>
  </si>
  <si>
    <t>C413567</t>
  </si>
  <si>
    <t>BTSL43</t>
  </si>
  <si>
    <t>BTSL-20H</t>
  </si>
  <si>
    <t>BTSL48A</t>
  </si>
  <si>
    <t>BTCSL-96</t>
  </si>
  <si>
    <t>BTSL114C</t>
  </si>
  <si>
    <t>1EBTSL2763</t>
  </si>
  <si>
    <t>BTSL97A</t>
  </si>
  <si>
    <t>BTSL41A</t>
  </si>
  <si>
    <t>BTSL97B</t>
  </si>
  <si>
    <t>BTSTL24A</t>
  </si>
  <si>
    <t>BTSL963</t>
  </si>
  <si>
    <t>BTSTL2997</t>
  </si>
  <si>
    <t>C413SL45</t>
  </si>
  <si>
    <t>C48L29</t>
  </si>
  <si>
    <t>SLD14</t>
  </si>
  <si>
    <t>SLC5LG291</t>
  </si>
  <si>
    <t>BFSL</t>
  </si>
  <si>
    <t>BTSL176</t>
  </si>
  <si>
    <t>SL96A</t>
  </si>
  <si>
    <t>BTSL24</t>
  </si>
  <si>
    <t>BTSL190</t>
  </si>
  <si>
    <t>SL-54</t>
  </si>
  <si>
    <t>114A</t>
  </si>
  <si>
    <t>SL-24</t>
  </si>
  <si>
    <t>SL-40</t>
  </si>
  <si>
    <t>SL-51A</t>
  </si>
  <si>
    <t>BTSL22</t>
  </si>
  <si>
    <t>BTSL2785</t>
  </si>
  <si>
    <t>BTSL107</t>
  </si>
  <si>
    <t>BTSL37</t>
  </si>
  <si>
    <t>C403832</t>
  </si>
  <si>
    <t>C4SL107</t>
  </si>
  <si>
    <t>EP2240</t>
  </si>
  <si>
    <t>SALSS000424</t>
  </si>
  <si>
    <t>SALSS000418</t>
  </si>
  <si>
    <t>SALSS000436</t>
  </si>
  <si>
    <t>SALSS000404</t>
  </si>
  <si>
    <t>SALSS000256</t>
  </si>
  <si>
    <t>SALSS000273</t>
  </si>
  <si>
    <t>SALSS000358</t>
  </si>
  <si>
    <t>SALSS000481</t>
  </si>
  <si>
    <t>SALSS000145</t>
  </si>
  <si>
    <t>SALSS000269</t>
  </si>
  <si>
    <t>SALSS000414</t>
  </si>
  <si>
    <t>SALSS000272</t>
  </si>
  <si>
    <t>SALSS000416</t>
  </si>
  <si>
    <t>SALSS000447</t>
  </si>
  <si>
    <t>SALSS000205</t>
  </si>
  <si>
    <t>SALSS000004</t>
  </si>
  <si>
    <t>SALSS000001</t>
  </si>
  <si>
    <t>SALSS000128</t>
  </si>
  <si>
    <t>SALSS000175</t>
  </si>
  <si>
    <t>SALSS000959</t>
  </si>
  <si>
    <t>SALSS000920</t>
  </si>
  <si>
    <t>SALSS000961</t>
  </si>
  <si>
    <t>SALSS000931</t>
  </si>
  <si>
    <t>SALSS000980</t>
  </si>
  <si>
    <t>SALSS000904</t>
  </si>
  <si>
    <t>SALSS000050</t>
  </si>
  <si>
    <t>SALSS000915</t>
  </si>
  <si>
    <t>SALSS000957</t>
  </si>
  <si>
    <t>SALSS000907</t>
  </si>
  <si>
    <t>SALSS000944</t>
  </si>
  <si>
    <t>SALSS000913</t>
  </si>
  <si>
    <t>SALSS000953</t>
  </si>
  <si>
    <t>SALSS000970</t>
  </si>
  <si>
    <t>SALSS000929</t>
  </si>
  <si>
    <t>SALSS000833</t>
  </si>
  <si>
    <t>SALSS001242</t>
  </si>
  <si>
    <t>SALSS001377</t>
  </si>
  <si>
    <t>SALSS001363</t>
  </si>
  <si>
    <t>SALSS001368</t>
  </si>
  <si>
    <t>SALSS001135</t>
  </si>
  <si>
    <t>SALSS001987</t>
  </si>
  <si>
    <t>SALSS001506</t>
  </si>
  <si>
    <t>SALSS002147</t>
  </si>
  <si>
    <t>SALSS001034</t>
  </si>
  <si>
    <t>SALSS002823</t>
  </si>
  <si>
    <t>SALSS002838</t>
  </si>
  <si>
    <t>SALSS002815</t>
  </si>
  <si>
    <t>SALSS002510</t>
  </si>
  <si>
    <t>SALSS002505</t>
  </si>
  <si>
    <t>SALSS002722</t>
  </si>
  <si>
    <t>SALSS003009</t>
  </si>
  <si>
    <t>SALSS004466</t>
  </si>
  <si>
    <t>SALSS004844</t>
  </si>
  <si>
    <t>SALSS004592</t>
  </si>
  <si>
    <t>SALSS003746</t>
  </si>
  <si>
    <t>SALSS004383</t>
  </si>
  <si>
    <t>SALSS004817</t>
  </si>
  <si>
    <t>SALSS005141</t>
  </si>
  <si>
    <t>SALSS005079</t>
  </si>
  <si>
    <t>SALSS005124</t>
  </si>
  <si>
    <t>Y</t>
  </si>
  <si>
    <t>67a,5th A Main Rd,2nd Block,RT Nagar,Bengaluru,Karnataka 560032,India</t>
  </si>
  <si>
    <t>479,5th Cross,4th Main Rd,2nd Block,Ganganagar,RT Nagar,Bengaluru,Karnataka 560032,India</t>
  </si>
  <si>
    <t>Man Colony,505,4th Cross Rd,2nd Block,Ganganagar,RT Nagar,Bengaluru,Karnataka 560032,India</t>
  </si>
  <si>
    <t>383,9th Cross Rd,2nd Block,RT Nagar,Bengaluru,Karnataka 560032,India</t>
  </si>
  <si>
    <t>8 Faiz E Abid 4th Main Road Nagamma Layout Kavalbyrasandra,2nd Block,Ganganagar,RT Nagar,Bengaluru,Karnataka 560032,India</t>
  </si>
  <si>
    <t>187,Matadahally,RT Nagar,Bengaluru,Karnataka 560032,India</t>
  </si>
  <si>
    <t>6th cross ghodke plot New anand nagar Hubli,Ganganagar,Rahmath Nagar,RT Nagar,Bengaluru,Karnataka 560032,India</t>
  </si>
  <si>
    <t>Bhargav Towers,20,Dasarahalli Main Rd,Ex Servicemen Colony,Dinnur,RT Nagar,Bengaluru,Karnataka 560032,India</t>
  </si>
  <si>
    <t>132,15th Cross Rd,2nd Block,Govindaraj Garden,RT Nagar,Bengaluru,Karnataka 560032,India</t>
  </si>
  <si>
    <t>139,10th Cross Rd,2nd Block,Ganganagar,RT Nagar,Bengaluru,Karnataka 560032,India</t>
  </si>
  <si>
    <t>30,Dinnur Main Rd,Nandi View Layout,Dinnur,RT Nagar,Bengaluru,Karnataka 560032,India</t>
  </si>
  <si>
    <t>284,16th Cross Rd,2nd Block,RT Nagar,Bengaluru,Karnataka 560032,India</t>
  </si>
  <si>
    <t>2H7W+GFW,Moti Nagar,RT Nagar,Bengaluru,Karnataka 560032,India</t>
  </si>
  <si>
    <t>68,Ex Servicemen Colony,RT Nagar,Bengaluru,Karnataka 560032,India</t>
  </si>
  <si>
    <t>Narayanappa Block,2,6th Main Rd,Ex Servicemen Colony,Dinnur,RT Nagar,Bengaluru,Karnataka 560032,India</t>
  </si>
  <si>
    <t>388,4th Main Rd,2nd Block,RT Nagar,Bengaluru,Karnataka 560032,India</t>
  </si>
  <si>
    <t>310,17th Cross Rd,2nd Block,RT Nagar,Bengaluru,Karnataka 560032,India</t>
  </si>
  <si>
    <t>28,1st A Cross Rd,Ex Servicemen Colony,Block 2,RT Nagar,Bengaluru,Karnataka 560032,India</t>
  </si>
  <si>
    <t>28,Dinnur,Hebbal,Bengaluru,Karnataka 560032,India</t>
  </si>
  <si>
    <t>43,3rd Cross Rd,Moti Nagar,RT Nagar,Bengaluru,Karnataka 560032,India</t>
  </si>
  <si>
    <t>🕌khanqah-e-Jaddi Khadria Aljilania Alwasilia #33,1st Block,Thimaiah Garden,RT Nagar,Bengaluru,Karnataka 560032,India</t>
  </si>
  <si>
    <t>41/1,14th Cross Rd,Rahmath Nagar,Ganganagar,Bengaluru,Karnataka 560032,India</t>
  </si>
  <si>
    <t>3,3rd floor,9th cross road,Adi Kabir Ashram Main Rd,behind V-Care Hospital,RT Nagar,Bengaluru,Karnataka 560032,India</t>
  </si>
  <si>
    <t>Murali Giri,345,Ex Servicemen Colony,Block 2,RT Nagar,Bengaluru,Karnataka 560032,India</t>
  </si>
  <si>
    <t>60,2nd Cross Rd,I Block,Thimaiah Garden,Devara Jeevanahalli,Bengaluru,Karnataka 560032,India</t>
  </si>
  <si>
    <t>No 8,9th Main Rd,behind RR Residency,Muneshwara C Block,Matadahalli,RT Nagar,Bengaluru,Karnataka 560032,India</t>
  </si>
  <si>
    <t>Satish Complex,567,2nd Cross Road,Thimaiah Garden,Devara Jeevanahalli,Bengaluru,Karnataka 560032,India</t>
  </si>
  <si>
    <t>2H7V+MJF,RT Nagar,Bengaluru,Karnataka 560032,India</t>
  </si>
  <si>
    <t>Royal,64,3rd Main Rd,Moti Nagar,RT Nagar,Bengaluru,Karnataka 560032,India</t>
  </si>
  <si>
    <t>Godu Gruha,Adi Kabir Ashram Main Rd,Thimaiah Garden,RT Nagar,Bengaluru,Karnataka 560032,India</t>
  </si>
  <si>
    <t>4,1st Main Rd,Thimaiah Garden,Devara Jeevanahalli,Bengaluru,Karnataka 560032,India</t>
  </si>
  <si>
    <t>22,Adi Kabir Ashram Main Rd,near Petrol Bunk,H.D,Thimaiah Garden,RT Nagar,Bengaluru,Karnataka 560032,India</t>
  </si>
  <si>
    <t>30,11th Cross Rd,Thimaiah Garden,RT Nagar,Bengaluru,Karnataka 560006,India</t>
  </si>
  <si>
    <t>17,3rd Main Rd,Matadahalli,Ganganagar,Bengaluru,Karnataka 560032,India</t>
  </si>
  <si>
    <t>2H7V+WRH,1st Main Rd,RT Nagar,Bengaluru,Karnataka 560032,India</t>
  </si>
  <si>
    <t>18,5th Main Rd,Ganganagar,Bengaluru,Karnataka 560032,India</t>
  </si>
  <si>
    <t>Sagar Complex,181,Dinnur Main Rd,Ex Servicemen Colony,Dinnur,RT Nagar,Bengaluru,Karnataka 560032,India</t>
  </si>
  <si>
    <t>Golden Arch,6,Chamundi Nagar Main Rd,Kauser Nagar,Dinnur,RT Nagar,Bengaluru,Karnataka 560032,India</t>
  </si>
  <si>
    <t>55,5th Cross Rd,Ganesha Block,Sultanpalya,Hebbal,Bengaluru,Karnataka 560032,India</t>
  </si>
  <si>
    <t>18/3,Munireddy St,J.C.Nagar,Bengaluru,Karnataka 560006,India</t>
  </si>
  <si>
    <t>4/2,JC Nagar Main Rd,Govindaraj Garden,Hebbal,Bengaluru,Karnataka 560032,India</t>
  </si>
  <si>
    <t>44,JC Nagar Main Rd,Munireddypalya,J.C.Nagar,Bengaluru,Karnataka 560006,India</t>
  </si>
  <si>
    <t>10/1,JC Nagar Main Rd,J.C.Nagar,Bengaluru,Karnataka 560006,India</t>
  </si>
  <si>
    <t>184,JC Nagar Main Rd,J.C.Nagar,Bengaluru,Karnataka 560006,India</t>
  </si>
  <si>
    <t>2H7V+4G2,CIL Rd,RT Nagar,Bengaluru,Karnataka 560006,India</t>
  </si>
  <si>
    <t>Royal,636,3rd Main Rd,Moti Nagar,RT Nagar,Bengaluru,Karnataka 560032,India</t>
  </si>
  <si>
    <t>Royal,24/2,1st Cross Rd,Moti Nagar,RT Nagar,Bengaluru,Karnataka 560032,India</t>
  </si>
  <si>
    <t>5,JC Nagar Main Rd,Ganganagar,Bengaluru,Karnataka 560032,India</t>
  </si>
  <si>
    <t>Kabir Ashrama,RT Nagar,Bengaluru,Karnataka 560032,India</t>
  </si>
  <si>
    <t>8,Mina Masjid Rd,Matadahalli,RT Nagar,Bengaluru,Karnataka 560032,India</t>
  </si>
  <si>
    <t>37/2,Dinnur Main Rd,Ganesha Block,Dinnur,Hebbal,Bengaluru,Karnataka 560032,India</t>
  </si>
  <si>
    <t>44,4th Cross Rd,MN Block,Muninanjappa Block,Dinnur,Hebbal,Bengaluru,Karnataka 560032,India</t>
  </si>
  <si>
    <t>Muninanjappa Block,Dinnur,RT Nagar,Bengaluru,Karnataka 560032,India</t>
  </si>
  <si>
    <t>Ground Floor,No.4,Taralabalu Marg,Ganganagar,Rahmath Nagar,RT Nagar,Bengaluru,Karnataka 560032,India</t>
  </si>
  <si>
    <t>Palace Grounds,08,Lancer Rd,J.C.Nagar,Bengaluru,Karnataka 560006,India</t>
  </si>
  <si>
    <t>293/a,7th Cross Rd,Ganganagar,Rahmath Nagar,RT Nagar,Bengaluru,Karnataka 560032,India</t>
  </si>
  <si>
    <t>156,JC Nagar Main Rd,Anchappa Garden,J.C.Nagar,Bengaluru,Karnataka 560006,India</t>
  </si>
  <si>
    <t>2HFW+7F6 Subhas Chandra Bose Park,6th Main Rd,Ex Servicemen Colony,Dinnur,RT Nagar,Bengaluru,Karnataka 560032,India</t>
  </si>
  <si>
    <t>319,5th Main Rd,2nd Block,RT Nagar,Bengaluru,Karnataka 560032,India</t>
  </si>
  <si>
    <t>188,Matadahally,RT Nagar,Bengaluru,Karnataka 560032,India</t>
  </si>
  <si>
    <t>https://schnell-s3-image.s3.ap-south-1.amazonaws.com/luminator/c3c5a440-283a-11f1-a2b2-c9cd62fbe2e2.jpg</t>
  </si>
  <si>
    <t>https://schnell-s3-image.s3.ap-south-1.amazonaws.com/luminator/d4789a00-2834-11f1-a2b2-c9cd62fbe2e2.jpg</t>
  </si>
  <si>
    <t>https://schnell-s3-image.s3.ap-south-1.amazonaws.com/luminator/2a2c5250-2f21-11f1-95d0-47be28da52ba.jpg</t>
  </si>
  <si>
    <t>https://schnell-s3-image.s3.ap-south-1.amazonaws.com/luminator/a8fcf8d0-2e92-11f1-9478-73b950bbe7e8.jpg</t>
  </si>
  <si>
    <t>https://schnell-s3-image.s3.ap-south-1.amazonaws.com/luminator/79b67000-2f29-11f1-95d0-47be28da52ba.jpg</t>
  </si>
  <si>
    <t>https://schnell-s3-image.s3.ap-south-1.amazonaws.com/luminator/0e46ccc0-332a-11f1-b1cf-e1f7c075797f.jpg</t>
  </si>
  <si>
    <t>https://schnell-s3-image.s3.ap-south-1.amazonaws.com/luminator/49aeb2d0-331d-11f1-95c4-2993055260f5.jpg</t>
  </si>
  <si>
    <t>https://schnell-s3-image.s3.ap-south-1.amazonaws.com/luminator/510575d0-2e5b-11f1-adc8-e13934f1c6ba.jpg</t>
  </si>
  <si>
    <t>https://schnell-s3-image.s3.ap-south-1.amazonaws.com/luminator/cad999c0-2e6c-11f1-adc8-e13934f1c6ba.jpg</t>
  </si>
  <si>
    <t>https://schnell-s3-image.s3.ap-south-1.amazonaws.com/luminator/61229750-2f1d-11f1-95d0-47be28da52ba.jpg</t>
  </si>
  <si>
    <t>https://schnell-s3-image.s3.ap-south-1.amazonaws.com/luminator/ffc429e0-2e60-11f1-adc8-e13934f1c6ba.jpg</t>
  </si>
  <si>
    <t>https://schnell-s3-image.s3.ap-south-1.amazonaws.com/luminator/17fb9ba0-2e76-11f1-adc8-e13934f1c6ba.jpg</t>
  </si>
  <si>
    <t>https://schnell-s3-image.s3.ap-south-1.amazonaws.com/luminator/104fd270-445d-11f1-8152-430214e8bf6d.jpg</t>
  </si>
  <si>
    <t>https://schnell-s3-image.s3.ap-south-1.amazonaws.com/luminator/6f5ec980-2e8f-11f1-9478-73b950bbe7e8.jpg</t>
  </si>
  <si>
    <t>https://schnell-s3-image.s3.ap-south-1.amazonaws.com/luminator/da76c1a0-2e85-11f1-9478-73b950bbe7e8.jpg</t>
  </si>
  <si>
    <t>https://schnell-s3-image.s3.ap-south-1.amazonaws.com/luminator/fc53fbc0-2f44-11f1-9fdb-37e9704e8c72.jpg</t>
  </si>
  <si>
    <t>https://schnell-s3-image.s3.ap-south-1.amazonaws.com/luminator/ae01fdd0-2f19-11f1-95d0-47be28da52ba.jpg</t>
  </si>
  <si>
    <t>https://schnell-s3-image.s3.ap-south-1.amazonaws.com/luminator/41e25590-2e66-11f1-adc8-e13934f1c6ba.jpg</t>
  </si>
  <si>
    <t>https://schnell-s3-image.s3.ap-south-1.amazonaws.com/luminator/fd960ad0-2e56-11f1-adc8-e13934f1c6ba.jpg</t>
  </si>
  <si>
    <t>https://schnell-s3-image.s3.ap-south-1.amazonaws.com/luminator/eaa353b0-4454-11f1-8152-430214e8bf6d.jpg</t>
  </si>
  <si>
    <t>https://schnell-s3-image.s3.ap-south-1.amazonaws.com/luminator/15aad540-43a8-11f1-b3e7-7f0b7343c832.jpg</t>
  </si>
  <si>
    <t>https://schnell-s3-image.s3.ap-south-1.amazonaws.com/luminator/451f4ed0-43b4-11f1-9675-473992002f11.jpg</t>
  </si>
  <si>
    <t>https://schnell-s3-image.s3.ap-south-1.amazonaws.com/luminator/82ead0b0-4452-11f1-8152-430214e8bf6d.jpg</t>
  </si>
  <si>
    <t>https://schnell-s3-image.s3.ap-south-1.amazonaws.com/luminator/2c2b8460-43bf-11f1-9675-473992002f11.jpg</t>
  </si>
  <si>
    <t>https://schnell-s3-image.s3.ap-south-1.amazonaws.com/luminator/84c02c00-4399-11f1-b3e7-7f0b7343c832.jpg</t>
  </si>
  <si>
    <t>https://schnell-s3-image.s3.ap-south-1.amazonaws.com/luminator/7cb0cca0-33fd-11f1-a22c-097b296d79c4.jpg</t>
  </si>
  <si>
    <t>https://schnell-s3-image.s3.ap-south-1.amazonaws.com/luminator/8723d910-42ea-11f1-9300-d34e8b3cbf65.jpg</t>
  </si>
  <si>
    <t>https://schnell-s3-image.s3.ap-south-1.amazonaws.com/luminator/2714a470-45fe-11f1-8a08-375f853baee4.jpg</t>
  </si>
  <si>
    <t>https://schnell-s3-image.s3.ap-south-1.amazonaws.com/luminator/724e5f30-4784-11f1-8a00-edeae2d60e00.jpg</t>
  </si>
  <si>
    <t>https://schnell-s3-image.s3.ap-south-1.amazonaws.com/luminator/7eb886e0-42cc-11f1-9300-d34e8b3cbf65.jpg</t>
  </si>
  <si>
    <t>https://schnell-s3-image.s3.ap-south-1.amazonaws.com/luminator/c14aa2b0-42d4-11f1-9300-d34e8b3cbf65.jpg</t>
  </si>
  <si>
    <t>https://schnell-s3-image.s3.ap-south-1.amazonaws.com/luminator/51148490-42e1-11f1-9300-d34e8b3cbf65.jpg</t>
  </si>
  <si>
    <t>https://schnell-s3-image.s3.ap-south-1.amazonaws.com/luminator/ed3d4cb0-42d9-11f1-9300-d34e8b3cbf65.jpg</t>
  </si>
  <si>
    <t>https://schnell-s3-image.s3.ap-south-1.amazonaws.com/luminator/c1f0d920-4787-11f1-8a00-edeae2d60e00.jpg</t>
  </si>
  <si>
    <t>https://schnell-s3-image.s3.ap-south-1.amazonaws.com/luminator/af754df0-4604-11f1-8a08-375f853baee4.jpg</t>
  </si>
  <si>
    <t>https://schnell-s3-image.s3.ap-south-1.amazonaws.com/luminator/81401e90-6bbd-11f1-9424-b5e8e8c92fae.jpg</t>
  </si>
  <si>
    <t>https://schnell-s3-image.s3.ap-south-1.amazonaws.com/luminator/58f558a0-6e02-11f1-8320-6dccf2ac6a38.jpg</t>
  </si>
  <si>
    <t>https://schnell-s3-image.s3.ap-south-1.amazonaws.com/luminator/0a12b2a0-6e07-11f1-8320-6dccf2ac6a38.jpg</t>
  </si>
  <si>
    <t>https://schnell-s3-image.s3.ap-south-1.amazonaws.com/luminator/a6bcc000-7131-11f1-808e-cf251ff0f712.jpg</t>
  </si>
  <si>
    <t>https://schnell-s3-image.s3.ap-south-1.amazonaws.com/luminator/f0378040-6ed3-11f1-9a5f-eba72cbbc463.jpg</t>
  </si>
  <si>
    <t>https://schnell-s3-image.s3.ap-south-1.amazonaws.com/luminator/4c202c80-6ebc-11f1-9a5f-eba72cbbc463.jpg</t>
  </si>
  <si>
    <t>https://schnell-s3-image.s3.ap-south-1.amazonaws.com/luminator/d8f8f3d0-6ec6-11f1-9a5f-eba72cbbc463.jpg</t>
  </si>
  <si>
    <t>https://schnell-s3-image.s3.ap-south-1.amazonaws.com/luminator/718ed030-6eca-11f1-9a5f-eba72cbbc463.jpg</t>
  </si>
  <si>
    <t>https://schnell-s3-image.s3.ap-south-1.amazonaws.com/luminator/94d5b510-6edc-11f1-9a5f-eba72cbbc463.jpg</t>
  </si>
  <si>
    <t>https://schnell-s3-image.s3.ap-south-1.amazonaws.com/luminator/78ef5470-7d12-11f1-a0d5-a75f61b964e6.jpg</t>
  </si>
  <si>
    <t>https://schnell-s3-image.s3.ap-south-1.amazonaws.com/luminator/03e2f820-7d09-11f1-be62-d961aa40fb1d.jpg</t>
  </si>
  <si>
    <t>https://schnell-s3-image.s3.ap-south-1.amazonaws.com/luminator/0ad504b0-7d0f-11f1-b054-5f4f1e6921fc.jpg</t>
  </si>
  <si>
    <t>https://schnell-s3-image.s3.ap-south-1.amazonaws.com/luminator/aade7cb0-7cf7-11f1-b842-8bb2df6345af.jpg</t>
  </si>
  <si>
    <t>https://schnell-s3-image.s3.ap-south-1.amazonaws.com/luminator/ffc99290-7cf8-11f1-9c7d-492fd4cd8fcb.jpg</t>
  </si>
  <si>
    <t>https://schnell-s3-image.s3.ap-south-1.amazonaws.com/luminator/5901b410-7cfd-11f1-8ee8-43130da4cd76.jpg</t>
  </si>
  <si>
    <t>https://schnell-s3-image.s3.ap-south-1.amazonaws.com/luminator/877011c0-9161-11f1-a95f-a9edf1c2c6d5.jpg</t>
  </si>
  <si>
    <t>https://schnell-s3-image.s3.ap-south-1.amazonaws.com/luminator/4fdfa510-9164-11f1-a490-a116bd410d6c.jpg</t>
  </si>
  <si>
    <t>https://schnell-s3-image.s3.ap-south-1.amazonaws.com/luminator/85cbd370-9168-11f1-a490-a116bd410d6c.jpg</t>
  </si>
  <si>
    <t>https://schnell-s3-image.s3.ap-south-1.amazonaws.com/luminator/339786d0-9230-11f1-bd26-3719ccaa9ffc.jpg</t>
  </si>
  <si>
    <t>https://schnell-s3-image.s3.ap-south-1.amazonaws.com/luminator/881d2fe0-924c-11f1-a1dd-07f8d5362ab4.jpg</t>
  </si>
  <si>
    <t>https://schnell-s3-image.s3.ap-south-1.amazonaws.com/luminator/57f3f500-922f-11f1-80a6-1fddeba32bfb.jpg</t>
  </si>
  <si>
    <t>https://schnell-s3-image.s3.ap-south-1.amazonaws.com/luminator/45a503b0-924f-11f1-bd22-43da21b2a305.jpg</t>
  </si>
  <si>
    <t>https://schnell-s3-image.s3.ap-south-1.amazonaws.com/luminator/36762670-9485-11f1-a82c-7141e83d45b3.jpg</t>
  </si>
  <si>
    <t>https://schnell-s3-image.s3.ap-south-1.amazonaws.com/luminator/c1c3c470-9490-11f1-8852-71ac46392da4.jpg</t>
  </si>
  <si>
    <t>https://schnell-s3-image.s3.ap-south-1.amazonaws.com/luminator/b17216a0-9498-11f1-8cc5-037bca23909e.jpg</t>
  </si>
  <si>
    <t>Existing</t>
  </si>
  <si>
    <t>BESCOM Meter Image Link</t>
  </si>
  <si>
    <t>CCMS Image &amp; Salzer METER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</si>
</sst>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Tw Cen MT"/>
      <family val="2"/>
    </font>
    <font>
      <sz val="11"/>
      <color theme="1"/>
      <name val="Tw Cen MT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 wrapText="1"/>
    </xf>
    <xf numFmtId="0" fontId="4" fillId="0" borderId="4" xfId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ma\Desktop\Final%20Pole,%20lamp%20,%20SLC%20&amp;%20Commissioning%20Report\FINAL%20REPORT\SLC%20BBMP%20Format%20-%20Mail%20Sent\North\Hebbal\WARD%2068.xlsx" TargetMode="External"/><Relationship Id="rId1" Type="http://schemas.openxmlformats.org/officeDocument/2006/relationships/externalLinkPath" Target="WARD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CCMS Panel ID</v>
          </cell>
          <cell r="C2" t="str">
            <v>Transformer NUMBER</v>
          </cell>
          <cell r="D2" t="str">
            <v>R R Number</v>
          </cell>
          <cell r="E2" t="str">
            <v>BESCOM Meter Sr#</v>
          </cell>
          <cell r="F2" t="str">
            <v>BESCOM Meter Image</v>
          </cell>
        </row>
        <row r="3">
          <cell r="B3" t="str">
            <v>SSC107SM00083</v>
          </cell>
          <cell r="C3">
            <v>32</v>
          </cell>
          <cell r="D3" t="str">
            <v>C413SL84</v>
          </cell>
          <cell r="E3" t="str">
            <v>BD0466275</v>
          </cell>
          <cell r="F3" t="str">
            <v>https://schnell-s3-image.s3.ap-south-1.amazonaws.com/luminator/d3d46f70-c065-11f0-ad58-9342830ccdd3.jpg</v>
          </cell>
        </row>
        <row r="4">
          <cell r="B4" t="str">
            <v>SSC107SM00221</v>
          </cell>
          <cell r="C4">
            <v>39</v>
          </cell>
          <cell r="D4" t="str">
            <v>C4SL1339</v>
          </cell>
          <cell r="E4" t="str">
            <v>BD0625831</v>
          </cell>
          <cell r="F4" t="str">
            <v>https://schnell-s3-image.s3.ap-south-1.amazonaws.com/luminator/fac8cf20-c07b-11f0-ad58-9342830ccdd3.jpg</v>
          </cell>
        </row>
        <row r="5">
          <cell r="B5" t="str">
            <v>SSC107SM00034</v>
          </cell>
          <cell r="C5">
            <v>105</v>
          </cell>
          <cell r="D5" t="str">
            <v>C413SL105</v>
          </cell>
          <cell r="E5" t="str">
            <v>BD0273445</v>
          </cell>
          <cell r="F5" t="str">
            <v>https://schnell-s3-image.s3.ap-south-1.amazonaws.com/luminator/978cd5c0-c088-11f0-ad58-9342830ccdd3.jpg</v>
          </cell>
        </row>
        <row r="6">
          <cell r="B6" t="str">
            <v>SSC107SM00059</v>
          </cell>
          <cell r="C6">
            <v>28</v>
          </cell>
          <cell r="D6" t="str">
            <v>C413SL28</v>
          </cell>
          <cell r="E6" t="str">
            <v>BD0022293</v>
          </cell>
          <cell r="F6" t="str">
            <v>https://schnell-s3-image.s3.ap-south-1.amazonaws.com/luminator/857bc7a0-bec2-11f0-8aeb-3f8553bef229.jpg</v>
          </cell>
        </row>
        <row r="7">
          <cell r="B7" t="str">
            <v>SSC107SM00106</v>
          </cell>
          <cell r="C7">
            <v>28</v>
          </cell>
          <cell r="D7" t="str">
            <v>C4SL28A</v>
          </cell>
          <cell r="E7" t="str">
            <v>A2631236</v>
          </cell>
          <cell r="F7" t="str">
            <v>https://schnell-s3-image.s3.ap-south-1.amazonaws.com/luminator/a51240c0-c11b-11f0-8cbb-d54d266144bc.jpg</v>
          </cell>
        </row>
        <row r="8">
          <cell r="B8" t="str">
            <v>SSC107SM00111</v>
          </cell>
          <cell r="C8">
            <v>107</v>
          </cell>
          <cell r="D8" t="str">
            <v>BTSL23</v>
          </cell>
          <cell r="E8">
            <v>862774081</v>
          </cell>
          <cell r="F8" t="str">
            <v>https://schnell-s3-image.s3.ap-south-1.amazonaws.com/luminator/9725cff0-c11f-11f0-8cbb-d54d266144bc.jpg</v>
          </cell>
        </row>
        <row r="9">
          <cell r="B9" t="str">
            <v>SSC107SM00126</v>
          </cell>
          <cell r="C9">
            <v>22</v>
          </cell>
          <cell r="D9" t="str">
            <v>BTSL22/A</v>
          </cell>
          <cell r="E9">
            <v>8627740819</v>
          </cell>
          <cell r="F9" t="str">
            <v>https://schnell-s3-image.s3.ap-south-1.amazonaws.com/luminator/6f02ca90-c125-11f0-8cbb-d54d266144bc.jpg</v>
          </cell>
        </row>
        <row r="10">
          <cell r="B10" t="str">
            <v>SSC107SM00135</v>
          </cell>
          <cell r="C10">
            <v>122</v>
          </cell>
          <cell r="D10" t="str">
            <v>C413SL60</v>
          </cell>
          <cell r="E10" t="str">
            <v>BD0602534</v>
          </cell>
          <cell r="F10" t="str">
            <v>https://schnell-s3-image.s3.ap-south-1.amazonaws.com/luminator/eb1fa3d0-c127-11f0-9e2f-f34807d87a5d.jpg</v>
          </cell>
        </row>
        <row r="11">
          <cell r="B11" t="str">
            <v>SSC107SM00145</v>
          </cell>
          <cell r="C11">
            <v>123</v>
          </cell>
          <cell r="D11" t="str">
            <v>C413SL123</v>
          </cell>
          <cell r="E11" t="str">
            <v>BC1430292</v>
          </cell>
          <cell r="F11" t="str">
            <v>https://schnell-s3-image.s3.ap-south-1.amazonaws.com/luminator/629e8060-c129-11f0-9e2f-f34807d87a5d.jpg</v>
          </cell>
        </row>
        <row r="12">
          <cell r="B12" t="str">
            <v>SSC107SM00148</v>
          </cell>
          <cell r="C12">
            <v>28</v>
          </cell>
          <cell r="D12" t="str">
            <v>C4SL28C</v>
          </cell>
          <cell r="E12" t="str">
            <v>BD1013825</v>
          </cell>
          <cell r="F12" t="str">
            <v>https://schnell-s3-image.s3.ap-south-1.amazonaws.com/luminator/24b0f110-bf9a-11f0-9aba-735a45fdcf81.jpg</v>
          </cell>
        </row>
        <row r="13">
          <cell r="B13" t="str">
            <v>SSC107SM00167</v>
          </cell>
          <cell r="C13">
            <v>60</v>
          </cell>
          <cell r="D13" t="str">
            <v>C04SL60</v>
          </cell>
          <cell r="E13" t="str">
            <v>BC3248779</v>
          </cell>
          <cell r="F13" t="str">
            <v>https://schnell-s3-image.s3.ap-south-1.amazonaws.com/luminator/ebbf5c50-fdda-11f0-b7cb-5530d0c4b336.jpg</v>
          </cell>
        </row>
        <row r="14">
          <cell r="B14" t="str">
            <v>SSC107SM00170</v>
          </cell>
          <cell r="C14">
            <v>14</v>
          </cell>
          <cell r="D14" t="str">
            <v>C413SL198</v>
          </cell>
          <cell r="E14" t="str">
            <v>BD0943777</v>
          </cell>
          <cell r="F14" t="str">
            <v>https://schnell-s3-image.s3.ap-south-1.amazonaws.com/luminator/d3526d30-c070-11f0-ad58-9342830ccdd3.jpg</v>
          </cell>
        </row>
        <row r="15">
          <cell r="B15" t="str">
            <v>SSC107SM00171</v>
          </cell>
          <cell r="C15" t="str">
            <v>TC114</v>
          </cell>
          <cell r="D15" t="str">
            <v>114B</v>
          </cell>
          <cell r="E15">
            <v>50415193</v>
          </cell>
          <cell r="F15" t="str">
            <v>https://schnell-s3-image.s3.ap-south-1.amazonaws.com/luminator/b44b88c0-bfaa-11f0-9aba-735a45fdcf81.jpg</v>
          </cell>
        </row>
        <row r="16">
          <cell r="B16" t="str">
            <v>SSC107SM00218</v>
          </cell>
          <cell r="C16">
            <v>84</v>
          </cell>
          <cell r="D16" t="str">
            <v>C4S43PAA</v>
          </cell>
          <cell r="E16" t="str">
            <v>BD1025682</v>
          </cell>
          <cell r="F16" t="str">
            <v>https://schnell-s3-image.s3.ap-south-1.amazonaws.com/luminator/b29ab220-c073-11f0-ad58-9342830ccdd3.jpg</v>
          </cell>
        </row>
        <row r="17">
          <cell r="B17" t="str">
            <v>SSC107SM00267</v>
          </cell>
          <cell r="C17">
            <v>32</v>
          </cell>
          <cell r="D17" t="str">
            <v>C4SL1332</v>
          </cell>
          <cell r="E17" t="str">
            <v>BD1014465</v>
          </cell>
          <cell r="F17" t="str">
            <v>https://schnell-s3-image.s3.ap-south-1.amazonaws.com/luminator/8fdbabd0-c06a-11f0-ad58-9342830ccdd3.jpg</v>
          </cell>
        </row>
        <row r="18">
          <cell r="B18" t="str">
            <v>SSC107SM00313</v>
          </cell>
          <cell r="C18">
            <v>67</v>
          </cell>
          <cell r="D18" t="str">
            <v>CHSL67A</v>
          </cell>
          <cell r="E18" t="str">
            <v>BD0943778</v>
          </cell>
          <cell r="F18" t="str">
            <v>https://schnell-s3-image.s3.ap-south-1.amazonaws.com/luminator/0c4fecb0-fd9e-11f0-b869-c902e97c8354.jpg</v>
          </cell>
        </row>
        <row r="19">
          <cell r="B19" t="str">
            <v>SSC107SM00317</v>
          </cell>
          <cell r="C19">
            <v>14</v>
          </cell>
          <cell r="D19" t="str">
            <v>C413SL14</v>
          </cell>
          <cell r="E19" t="str">
            <v>BD0022301</v>
          </cell>
          <cell r="F19" t="str">
            <v>https://schnell-s3-image.s3.ap-south-1.amazonaws.com/luminator/57ec2370-c052-11f0-ad58-9342830ccdd3.jpg</v>
          </cell>
        </row>
        <row r="20">
          <cell r="B20" t="str">
            <v>SSC107SM00324</v>
          </cell>
          <cell r="C20">
            <v>24</v>
          </cell>
          <cell r="D20" t="str">
            <v>C413SL24</v>
          </cell>
          <cell r="E20" t="str">
            <v>BD0068503</v>
          </cell>
          <cell r="F20" t="str">
            <v>https://schnell-s3-image.s3.ap-south-1.amazonaws.com/luminator/f6fa6c70-bf93-11f0-9aba-735a45fdcf81.jpg</v>
          </cell>
        </row>
        <row r="21">
          <cell r="B21" t="str">
            <v>SSC107SM00332</v>
          </cell>
          <cell r="C21">
            <v>24</v>
          </cell>
          <cell r="D21" t="str">
            <v>C4SL24</v>
          </cell>
          <cell r="E21" t="str">
            <v>A4921555</v>
          </cell>
          <cell r="F21" t="str">
            <v>https://schnell-s3-image.s3.ap-south-1.amazonaws.com/luminator/3b220ab0-bc8e-11f0-a28d-6d67ce6fdcbe.jpg</v>
          </cell>
        </row>
        <row r="22">
          <cell r="B22" t="str">
            <v>SSC107SM00509</v>
          </cell>
          <cell r="C22" t="str">
            <v>TC25</v>
          </cell>
          <cell r="D22" t="str">
            <v>BTCSL25B</v>
          </cell>
          <cell r="E22">
            <v>49221486</v>
          </cell>
          <cell r="F22" t="str">
            <v>https://schnell-s3-image.s3.ap-south-1.amazonaws.com/luminator/ab017b10-bfa7-11f0-9aba-735a45fdcf81.jpg</v>
          </cell>
        </row>
        <row r="23">
          <cell r="B23" t="str">
            <v>SSC107SM00561</v>
          </cell>
          <cell r="C23">
            <v>31</v>
          </cell>
          <cell r="D23" t="str">
            <v>S34193CL</v>
          </cell>
          <cell r="E23">
            <v>41940661</v>
          </cell>
          <cell r="F23" t="str">
            <v>https://schnell-s3-image.s3.ap-south-1.amazonaws.com/luminator/b951a3e0-beec-11f0-9ff7-733c802724a6.jpg</v>
          </cell>
        </row>
        <row r="24">
          <cell r="B24" t="str">
            <v>SSC107SM00566</v>
          </cell>
          <cell r="C24">
            <v>43</v>
          </cell>
          <cell r="D24" t="str">
            <v>BTSL-438</v>
          </cell>
          <cell r="E24">
            <v>70747280</v>
          </cell>
          <cell r="F24" t="str">
            <v>https://schnell-s3-image.s3.ap-south-1.amazonaws.com/luminator/e4ea5290-bee7-11f0-9ff7-733c802724a6.jpg</v>
          </cell>
        </row>
        <row r="25">
          <cell r="B25" t="str">
            <v>SSC107SM00568</v>
          </cell>
          <cell r="C25" t="str">
            <v>TC25</v>
          </cell>
          <cell r="D25" t="str">
            <v>BTSL25A</v>
          </cell>
          <cell r="E25">
            <v>50415196</v>
          </cell>
          <cell r="F25" t="str">
            <v>https://schnell-s3-image.s3.ap-south-1.amazonaws.com/luminator/cbebc260-bfa5-11f0-9aba-735a45fdcf81.jpg</v>
          </cell>
        </row>
        <row r="26">
          <cell r="B26" t="str">
            <v>SSC107SM00575</v>
          </cell>
          <cell r="C26" t="str">
            <v>-</v>
          </cell>
          <cell r="D26" t="str">
            <v>C413567</v>
          </cell>
          <cell r="E26" t="str">
            <v>BO1115398</v>
          </cell>
          <cell r="F26" t="str">
            <v>https://schnell-s3-image.s3.ap-south-1.amazonaws.com/luminator/e4ea5290-bee7-11f0-9ff7-733c802724a6.jpg</v>
          </cell>
        </row>
        <row r="27">
          <cell r="B27" t="str">
            <v>SSC107SM00581</v>
          </cell>
          <cell r="C27">
            <v>190</v>
          </cell>
          <cell r="D27" t="str">
            <v>BTSL43</v>
          </cell>
          <cell r="E27">
            <v>418880795</v>
          </cell>
          <cell r="F27" t="str">
            <v>https://schnell-s3-image.s3.ap-south-1.amazonaws.com/luminator/db43be40-beea-11f0-9ff7-733c802724a6.jpg</v>
          </cell>
        </row>
        <row r="28">
          <cell r="B28" t="str">
            <v>SSC107SM00226</v>
          </cell>
          <cell r="C28">
            <v>20</v>
          </cell>
          <cell r="D28" t="str">
            <v>BTSL-20H</v>
          </cell>
          <cell r="E28" t="str">
            <v>A40021974</v>
          </cell>
          <cell r="F28" t="str">
            <v>https://schnell-s3-image.s3.ap-south-1.amazonaws.com/luminator/d3526d30-c070-11f0-ad58-9342830ccdd3.jpg</v>
          </cell>
        </row>
        <row r="29">
          <cell r="B29" t="str">
            <v>SSC107SM00503</v>
          </cell>
          <cell r="C29" t="str">
            <v>-</v>
          </cell>
          <cell r="D29" t="str">
            <v>BTSL48A</v>
          </cell>
          <cell r="E29">
            <v>2923389</v>
          </cell>
          <cell r="F29" t="str">
            <v>https://schnell-s3-image.s3.ap-south-1.amazonaws.com/luminator/a5cf1360-bef2-11f0-9ff7-733c802724a6.jpg</v>
          </cell>
        </row>
        <row r="30">
          <cell r="B30" t="str">
            <v>SSC107SM00515</v>
          </cell>
          <cell r="C30" t="str">
            <v>TC96</v>
          </cell>
          <cell r="D30" t="str">
            <v>BTCSL-96</v>
          </cell>
          <cell r="E30">
            <v>4926934</v>
          </cell>
          <cell r="F30" t="str">
            <v>https://schnell-s3-image.s3.ap-south-1.amazonaws.com/luminator/d3d46f70-c065-11f0-ad58-9342830ccdd3.jpg</v>
          </cell>
        </row>
        <row r="31">
          <cell r="B31" t="str">
            <v>SSC107SM00530</v>
          </cell>
          <cell r="C31">
            <v>114</v>
          </cell>
          <cell r="D31" t="str">
            <v>BTSL114C</v>
          </cell>
          <cell r="E31" t="str">
            <v>BD0050396</v>
          </cell>
          <cell r="F31" t="str">
            <v>https://schnell-s3-image.s3.ap-south-1.amazonaws.com/luminator/edb2db80-bfab-11f0-9aba-735a45fdcf81.jpg</v>
          </cell>
        </row>
        <row r="32">
          <cell r="B32" t="str">
            <v>SSC107SM00551</v>
          </cell>
          <cell r="C32">
            <v>11</v>
          </cell>
          <cell r="D32" t="str">
            <v>1EBTSL2763</v>
          </cell>
          <cell r="E32" t="str">
            <v>BC1133227</v>
          </cell>
          <cell r="F32" t="str">
            <v>https://schnell-s3-image.s3.ap-south-1.amazonaws.com/luminator/1251e2b0-bf84-11f0-9aba-735a45fdcf81.jpg</v>
          </cell>
        </row>
        <row r="33">
          <cell r="B33" t="str">
            <v>SSC107SM00556</v>
          </cell>
          <cell r="C33">
            <v>97</v>
          </cell>
          <cell r="D33" t="str">
            <v>BTSL97A</v>
          </cell>
          <cell r="E33">
            <v>442086033</v>
          </cell>
          <cell r="F33" t="str">
            <v>https://schnell-s3-image.s3.ap-south-1.amazonaws.com/luminator/f6417fe0-bf97-11f0-9aba-735a45fdcf81.jpg</v>
          </cell>
        </row>
        <row r="34">
          <cell r="B34" t="str">
            <v>SSC107SM00577</v>
          </cell>
          <cell r="C34">
            <v>41</v>
          </cell>
          <cell r="D34" t="str">
            <v>BTSL41A</v>
          </cell>
          <cell r="E34">
            <v>2924809</v>
          </cell>
          <cell r="F34" t="str">
            <v>https://schnell-s3-image.s3.ap-south-1.amazonaws.com/luminator/aee5ee00-bef3-11f0-9ff7-733c802724a6.jpg</v>
          </cell>
        </row>
        <row r="35">
          <cell r="B35" t="str">
            <v>SSC107SM00585</v>
          </cell>
          <cell r="C35">
            <v>97</v>
          </cell>
          <cell r="D35" t="str">
            <v>BTSL97B</v>
          </cell>
          <cell r="E35">
            <v>41946459</v>
          </cell>
          <cell r="F35" t="str">
            <v>https://schnell-s3-image.s3.ap-south-1.amazonaws.com/luminator/46ce70f0-bf87-11f0-9aba-735a45fdcf81.jpg</v>
          </cell>
        </row>
        <row r="36">
          <cell r="B36" t="str">
            <v>SSC107SM00589</v>
          </cell>
          <cell r="C36">
            <v>24</v>
          </cell>
          <cell r="D36" t="str">
            <v>BTSTL24A</v>
          </cell>
          <cell r="E36">
            <v>49365678</v>
          </cell>
          <cell r="F36" t="str">
            <v>https://schnell-s3-image.s3.ap-south-1.amazonaws.com/luminator/31d28d70-bfba-11f0-9aba-735a45fdcf81.jpg</v>
          </cell>
        </row>
        <row r="37">
          <cell r="B37" t="str">
            <v>SSC107SM00602</v>
          </cell>
          <cell r="C37" t="str">
            <v>TC93</v>
          </cell>
          <cell r="D37" t="str">
            <v>BTSL963</v>
          </cell>
          <cell r="E37" t="str">
            <v>BD0050394</v>
          </cell>
          <cell r="F37" t="str">
            <v>https://schnell-s3-image.s3.ap-south-1.amazonaws.com/luminator/d32b3fc0-bfb8-11f0-9aba-735a45fdcf81.jpg</v>
          </cell>
        </row>
        <row r="38">
          <cell r="B38" t="str">
            <v>SSC107SM01910</v>
          </cell>
          <cell r="C38">
            <v>20</v>
          </cell>
          <cell r="D38" t="str">
            <v>BTSTL2997</v>
          </cell>
          <cell r="E38">
            <v>41936357</v>
          </cell>
          <cell r="F38" t="str">
            <v>https://schnell-s3-image.s3.ap-south-1.amazonaws.com/luminator/25a5eb70-c076-11f0-ad58-9342830ccdd3.jpg</v>
          </cell>
        </row>
        <row r="39">
          <cell r="B39" t="str">
            <v>SSC107SM01899</v>
          </cell>
          <cell r="C39">
            <v>60</v>
          </cell>
          <cell r="D39" t="str">
            <v>C413SL45</v>
          </cell>
          <cell r="E39" t="str">
            <v>BD0623618</v>
          </cell>
          <cell r="F39" t="str">
            <v>https://schnell-s3-image.s3.ap-south-1.amazonaws.com/luminator/ab017b10-bfa7-11f0-9aba-735a45fdcf81.jpg</v>
          </cell>
        </row>
        <row r="40">
          <cell r="B40" t="str">
            <v>SSC107SM01869</v>
          </cell>
          <cell r="C40" t="str">
            <v>-</v>
          </cell>
          <cell r="D40" t="str">
            <v>C48L29</v>
          </cell>
          <cell r="E40" t="str">
            <v>BD0602116</v>
          </cell>
          <cell r="F40" t="str">
            <v>https://schnell-s3-image.s3.ap-south-1.amazonaws.com/luminator/fff9ea50-bd2a-11f0-820e-ab1682d092b5.jpg</v>
          </cell>
        </row>
        <row r="41">
          <cell r="B41" t="str">
            <v>SSC107SM01826</v>
          </cell>
          <cell r="C41">
            <v>14</v>
          </cell>
          <cell r="D41" t="str">
            <v>SLD14</v>
          </cell>
          <cell r="E41" t="str">
            <v>BC2282323</v>
          </cell>
          <cell r="F41" t="str">
            <v>https://schnell-s3-image.s3.ap-south-1.amazonaws.com/luminator/c46c26e0-fddc-11f0-91d6-f5d6c9188025.jpg</v>
          </cell>
        </row>
        <row r="42">
          <cell r="B42" t="str">
            <v>SSC107SM01909</v>
          </cell>
          <cell r="C42">
            <v>4</v>
          </cell>
          <cell r="D42">
            <v>139</v>
          </cell>
          <cell r="E42" t="str">
            <v>A2366442</v>
          </cell>
          <cell r="F42" t="str">
            <v>https://schnell-s3-image.s3.ap-south-1.amazonaws.com/luminator/629e8060-c129-11f0-9e2f-f34807d87a5d.jpg</v>
          </cell>
        </row>
        <row r="43">
          <cell r="B43" t="str">
            <v>SSC107SM02325</v>
          </cell>
          <cell r="C43">
            <v>95</v>
          </cell>
          <cell r="D43" t="str">
            <v>SLC5LG291</v>
          </cell>
          <cell r="E43" t="str">
            <v>BD0127805</v>
          </cell>
          <cell r="F43" t="str">
            <v>https://schnell-s3-image.s3.ap-south-1.amazonaws.com/luminator/55c26d10-bf8b-11f0-9aba-735a45fdcf81.jpg</v>
          </cell>
        </row>
        <row r="44">
          <cell r="B44" t="str">
            <v>SSC107SM01974</v>
          </cell>
          <cell r="C44">
            <v>66</v>
          </cell>
          <cell r="D44" t="str">
            <v>-</v>
          </cell>
          <cell r="E44">
            <v>41936351</v>
          </cell>
          <cell r="F44" t="str">
            <v>https://schnell-s3-image.s3.ap-south-1.amazonaws.com/luminator/6f02ca90-c125-11f0-8cbb-d54d266144bc.jpg</v>
          </cell>
        </row>
        <row r="45">
          <cell r="B45" t="str">
            <v>SSC107SM01822</v>
          </cell>
          <cell r="C45">
            <v>14</v>
          </cell>
          <cell r="D45" t="str">
            <v>BFSL</v>
          </cell>
          <cell r="E45" t="str">
            <v>BD0049821</v>
          </cell>
          <cell r="F45" t="str">
            <v>https://schnell-s3-image.s3.ap-south-1.amazonaws.com/luminator/eb1fa3d0-c127-11f0-9e2f-f34807d87a5d.jpg</v>
          </cell>
        </row>
        <row r="46">
          <cell r="B46" t="str">
            <v>SSC107SM01908</v>
          </cell>
          <cell r="C46">
            <v>716</v>
          </cell>
          <cell r="D46" t="str">
            <v>BTSL176</v>
          </cell>
          <cell r="E46">
            <v>42576315</v>
          </cell>
          <cell r="F46" t="str">
            <v>https://schnell-s3-image.s3.ap-south-1.amazonaws.com/luminator/2d5216a0-c134-11f0-9e2f-f34807d87a5d.jpg</v>
          </cell>
        </row>
        <row r="47">
          <cell r="B47" t="str">
            <v>SSC107SM02546</v>
          </cell>
          <cell r="C47">
            <v>96</v>
          </cell>
          <cell r="D47" t="str">
            <v>SL96A</v>
          </cell>
          <cell r="E47">
            <v>41985640</v>
          </cell>
          <cell r="F47" t="str">
            <v>https://schnell-s3-image.s3.ap-south-1.amazonaws.com/luminator/a51240c0-c11b-11f0-8cbb-d54d266144bc.jpg</v>
          </cell>
        </row>
        <row r="48">
          <cell r="B48" t="str">
            <v>SSC107SM02517</v>
          </cell>
          <cell r="C48" t="str">
            <v>-</v>
          </cell>
          <cell r="D48" t="str">
            <v>BTSL24</v>
          </cell>
          <cell r="E48">
            <v>2923538</v>
          </cell>
          <cell r="F48" t="str">
            <v>https://schnell-s3-image.s3.ap-south-1.amazonaws.com/luminator/db43be40-beea-11f0-9ff7-733c802724a6.jpg</v>
          </cell>
        </row>
        <row r="49">
          <cell r="B49" t="str">
            <v>SSC107SM02511</v>
          </cell>
          <cell r="C49">
            <v>43</v>
          </cell>
          <cell r="D49" t="str">
            <v>BTSL190</v>
          </cell>
          <cell r="E49" t="str">
            <v>BTSL90</v>
          </cell>
          <cell r="F49" t="str">
            <v>https://schnell-s3-image.s3.ap-south-1.amazonaws.com/luminator/57d2a800-c052-11f0-ad58-9342830ccdd3.jpg</v>
          </cell>
        </row>
        <row r="50">
          <cell r="B50" t="str">
            <v>SSC107SM02491</v>
          </cell>
          <cell r="C50">
            <v>54</v>
          </cell>
          <cell r="D50" t="str">
            <v>SL-54</v>
          </cell>
          <cell r="E50">
            <v>442068929</v>
          </cell>
          <cell r="F50" t="str">
            <v>https://schnell-s3-image.s3.ap-south-1.amazonaws.com/luminator/8df7e4d0-bfb3-11f0-9aba-735a45fdcf81.jpg</v>
          </cell>
        </row>
        <row r="51">
          <cell r="B51" t="str">
            <v>SSC107SM02539</v>
          </cell>
          <cell r="C51">
            <v>279</v>
          </cell>
          <cell r="D51" t="str">
            <v>114A</v>
          </cell>
          <cell r="E51">
            <v>70750</v>
          </cell>
          <cell r="F51" t="str">
            <v>https://schnell-s3-image.s3.ap-south-1.amazonaws.com/luminator/4a47d910-bfaf-11f0-9aba-735a45fdcf81.jpg</v>
          </cell>
        </row>
        <row r="52">
          <cell r="B52" t="str">
            <v>SSC107SM02576</v>
          </cell>
          <cell r="C52">
            <v>42</v>
          </cell>
          <cell r="D52" t="str">
            <v>-</v>
          </cell>
          <cell r="E52">
            <v>41987951</v>
          </cell>
          <cell r="F52" t="str">
            <v>https://schnell-s3-image.s3.ap-south-1.amazonaws.com/luminator/d32b3fc0-bfb8-11f0-9aba-735a45fdcf81.jpg</v>
          </cell>
        </row>
        <row r="53">
          <cell r="B53" t="str">
            <v>SSC107SM02573</v>
          </cell>
          <cell r="C53">
            <v>24</v>
          </cell>
          <cell r="D53" t="str">
            <v>SL-24</v>
          </cell>
          <cell r="E53" t="str">
            <v>A263329</v>
          </cell>
          <cell r="F53" t="str">
            <v>https://schnell-s3-image.s3.ap-south-1.amazonaws.com/luminator/f461dcf0-bc82-11f0-b835-491e4cc27c0e.jpg</v>
          </cell>
        </row>
        <row r="54">
          <cell r="B54" t="str">
            <v>SSC107SM04168</v>
          </cell>
          <cell r="C54" t="str">
            <v>-</v>
          </cell>
          <cell r="D54" t="str">
            <v>SL-40</v>
          </cell>
          <cell r="E54" t="str">
            <v>BD0466271</v>
          </cell>
          <cell r="F54" t="str">
            <v>https://schnell-s3-image.s3.ap-south-1.amazonaws.com/luminator/89baff80-bee4-11f0-9ff7-733c802724a6.jpg</v>
          </cell>
        </row>
        <row r="55">
          <cell r="B55" t="str">
            <v>SSC107SM04446</v>
          </cell>
          <cell r="C55" t="str">
            <v>-</v>
          </cell>
          <cell r="D55" t="str">
            <v>SL-51A</v>
          </cell>
          <cell r="E55" t="str">
            <v>BD0602114</v>
          </cell>
          <cell r="F55" t="str">
            <v>https://schnell-s3-image.s3.ap-south-1.amazonaws.com/luminator/8594cde0-bec2-11f0-8aeb-3f8553bef229.jpg</v>
          </cell>
        </row>
        <row r="56">
          <cell r="B56" t="str">
            <v>SSC107SM04237</v>
          </cell>
          <cell r="C56">
            <v>22</v>
          </cell>
          <cell r="D56" t="str">
            <v>BTSL22</v>
          </cell>
          <cell r="E56">
            <v>50415192</v>
          </cell>
          <cell r="F56" t="str">
            <v>https://schnell-s3-image.s3.ap-south-1.amazonaws.com/luminator/91d5fcb0-bedf-11f0-9ff7-733c802724a6.jpg</v>
          </cell>
        </row>
        <row r="57">
          <cell r="B57" t="str">
            <v>SSC107SM04418</v>
          </cell>
          <cell r="C57" t="str">
            <v>-</v>
          </cell>
          <cell r="D57" t="str">
            <v>BTSL2785</v>
          </cell>
          <cell r="E57">
            <v>41936353</v>
          </cell>
          <cell r="F57" t="str">
            <v>https://schnell-s3-image.s3.ap-south-1.amazonaws.com/luminator/09dcd620-c11f-11f0-8cbb-d54d266144bc.jpg</v>
          </cell>
        </row>
        <row r="58">
          <cell r="B58" t="str">
            <v>SSC107SM04435</v>
          </cell>
          <cell r="C58">
            <v>107</v>
          </cell>
          <cell r="D58" t="str">
            <v>BTSL107</v>
          </cell>
          <cell r="E58">
            <v>2923198</v>
          </cell>
          <cell r="F58" t="str">
            <v>https://schnell-s3-image.s3.ap-south-1.amazonaws.com/luminator/57bdc7f0-bec7-11f0-8aeb-3f8553bef229.jpg</v>
          </cell>
        </row>
        <row r="59">
          <cell r="B59" t="str">
            <v>SSC107SM04471</v>
          </cell>
          <cell r="C59">
            <v>37</v>
          </cell>
          <cell r="D59" t="str">
            <v>BTSL37</v>
          </cell>
          <cell r="E59">
            <v>11444</v>
          </cell>
          <cell r="F59" t="str">
            <v>https://schnell-s3-image.s3.ap-south-1.amazonaws.com/luminator/576aa0e0-c122-11f0-8cbb-d54d266144bc.jpg</v>
          </cell>
        </row>
        <row r="60">
          <cell r="B60" t="str">
            <v>SSC107SM05018</v>
          </cell>
          <cell r="C60">
            <v>32</v>
          </cell>
          <cell r="D60" t="str">
            <v>C403832</v>
          </cell>
          <cell r="E60" t="str">
            <v>D421156</v>
          </cell>
          <cell r="F60" t="str">
            <v>https://schnell-s3-image.s3.ap-south-1.amazonaws.com/luminator/5fa0e170-c442-11f0-9374-6b32d9164795.jpg</v>
          </cell>
        </row>
        <row r="61">
          <cell r="B61" t="str">
            <v>SSC107SM05050</v>
          </cell>
          <cell r="C61">
            <v>14</v>
          </cell>
          <cell r="D61" t="str">
            <v>C4SL107</v>
          </cell>
          <cell r="E61" t="str">
            <v>BD100059</v>
          </cell>
          <cell r="F61" t="str">
            <v>https://schnell-s3-image.s3.ap-south-1.amazonaws.com/luminator/c11f4100-bebe-11f0-8aeb-3f8553bef229.jpg</v>
          </cell>
        </row>
        <row r="62">
          <cell r="B62" t="str">
            <v>SSC107SM05145</v>
          </cell>
          <cell r="C62" t="str">
            <v>-</v>
          </cell>
          <cell r="D62" t="str">
            <v>EP2240</v>
          </cell>
          <cell r="E62">
            <v>23504309</v>
          </cell>
          <cell r="F62" t="str">
            <v>https://schnell-s3-image.s3.ap-south-1.amazonaws.com/luminator/f461dcf0-bc82-11f0-b835-491e4cc27c0e.jpg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nell-s3-image.s3.ap-south-1.amazonaws.com/luminator/c3c5a440-283a-11f1-a2b2-c9cd62fbe2e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9DBB-6A03-4485-9724-542B778BECA1}">
  <dimension ref="A1:AA62"/>
  <sheetViews>
    <sheetView tabSelected="1" topLeftCell="A2" workbookViewId="0">
      <selection activeCell="Q7" sqref="Q7"/>
    </sheetView>
  </sheetViews>
  <sheetFormatPr defaultRowHeight="14.4" x14ac:dyDescent="0.3"/>
  <cols>
    <col min="3" max="3" width="0" hidden="1" customWidth="1"/>
    <col min="4" max="4" width="11.6640625" bestFit="1" customWidth="1"/>
    <col min="5" max="5" width="12.33203125" bestFit="1" customWidth="1"/>
    <col min="6" max="6" width="0" hidden="1" customWidth="1"/>
    <col min="7" max="7" width="15.5546875" hidden="1" customWidth="1"/>
    <col min="8" max="8" width="15.5546875" customWidth="1"/>
    <col min="9" max="9" width="11.6640625" bestFit="1" customWidth="1"/>
    <col min="11" max="11" width="15.5546875" bestFit="1" customWidth="1"/>
    <col min="12" max="12" width="37.77734375" hidden="1" customWidth="1"/>
    <col min="13" max="13" width="33.33203125" customWidth="1"/>
    <col min="16" max="17" width="11" bestFit="1" customWidth="1"/>
  </cols>
  <sheetData>
    <row r="1" spans="1:27" s="1" customFormat="1" ht="15.6" customHeight="1" x14ac:dyDescent="0.25">
      <c r="A1" s="13" t="s">
        <v>0</v>
      </c>
      <c r="B1" s="14"/>
      <c r="C1" s="14"/>
      <c r="D1" s="14"/>
      <c r="E1" s="14"/>
      <c r="F1" s="14"/>
      <c r="G1" s="15"/>
      <c r="H1" s="12"/>
      <c r="I1" s="13" t="s">
        <v>1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</row>
    <row r="2" spans="1:27" s="1" customFormat="1" ht="62.4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364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365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 x14ac:dyDescent="0.3">
      <c r="A3" s="9">
        <v>1</v>
      </c>
      <c r="B3" s="10">
        <v>32</v>
      </c>
      <c r="C3" s="9"/>
      <c r="D3" s="11" t="s">
        <v>125</v>
      </c>
      <c r="E3" s="11" t="s">
        <v>87</v>
      </c>
      <c r="F3" s="9"/>
      <c r="G3" s="8" t="str">
        <f>VLOOKUP(K3,[1]Sheet1!$B:$F,5,0)</f>
        <v>https://schnell-s3-image.s3.ap-south-1.amazonaws.com/luminator/d3d46f70-c065-11f0-ad58-9342830ccdd3.jpg</v>
      </c>
      <c r="H3" s="8" t="str">
        <f>HYPERLINK(G3)</f>
        <v>https://schnell-s3-image.s3.ap-south-1.amazonaws.com/luminator/d3d46f70-c065-11f0-ad58-9342830ccdd3.jpg</v>
      </c>
      <c r="I3" s="9" t="s">
        <v>182</v>
      </c>
      <c r="J3" s="9">
        <v>7</v>
      </c>
      <c r="K3" s="5" t="s">
        <v>27</v>
      </c>
      <c r="L3" s="8" t="s">
        <v>303</v>
      </c>
      <c r="M3" s="8" t="str">
        <f>HYPERLINK(L3)</f>
        <v>https://schnell-s3-image.s3.ap-south-1.amazonaws.com/luminator/c3c5a440-283a-11f1-a2b2-c9cd62fbe2e2.jpg</v>
      </c>
      <c r="N3" s="9" t="s">
        <v>363</v>
      </c>
      <c r="O3" s="7" t="s">
        <v>242</v>
      </c>
      <c r="P3" s="5">
        <v>13.022663</v>
      </c>
      <c r="Q3" s="5">
        <v>77.596122600000001</v>
      </c>
      <c r="R3" s="5" t="s">
        <v>243</v>
      </c>
      <c r="S3" s="4">
        <v>18</v>
      </c>
      <c r="T3" s="4">
        <v>0</v>
      </c>
      <c r="U3" s="4">
        <v>0</v>
      </c>
      <c r="V3" s="4">
        <v>0</v>
      </c>
      <c r="W3" s="4">
        <v>0</v>
      </c>
      <c r="X3" s="4">
        <v>3</v>
      </c>
      <c r="Y3" s="3">
        <v>0</v>
      </c>
      <c r="Z3" s="3">
        <v>0</v>
      </c>
      <c r="AA3" s="3"/>
    </row>
    <row r="4" spans="1:27" x14ac:dyDescent="0.3">
      <c r="A4" s="9">
        <v>2</v>
      </c>
      <c r="B4" s="10">
        <v>39</v>
      </c>
      <c r="C4" s="9"/>
      <c r="D4" s="11" t="s">
        <v>126</v>
      </c>
      <c r="E4" s="11" t="s">
        <v>88</v>
      </c>
      <c r="F4" s="9"/>
      <c r="G4" s="8" t="str">
        <f>VLOOKUP(K4,[1]Sheet1!$B:$F,5,0)</f>
        <v>https://schnell-s3-image.s3.ap-south-1.amazonaws.com/luminator/fac8cf20-c07b-11f0-ad58-9342830ccdd3.jpg</v>
      </c>
      <c r="H4" s="8" t="str">
        <f t="shared" ref="H4:H62" si="0">HYPERLINK(G4)</f>
        <v>https://schnell-s3-image.s3.ap-south-1.amazonaws.com/luminator/fac8cf20-c07b-11f0-ad58-9342830ccdd3.jpg</v>
      </c>
      <c r="I4" s="9" t="s">
        <v>183</v>
      </c>
      <c r="J4" s="9">
        <v>2</v>
      </c>
      <c r="K4" s="5" t="s">
        <v>28</v>
      </c>
      <c r="L4" s="8" t="s">
        <v>304</v>
      </c>
      <c r="M4" s="8" t="str">
        <f t="shared" ref="M4:M62" si="1">HYPERLINK(L4)</f>
        <v>https://schnell-s3-image.s3.ap-south-1.amazonaws.com/luminator/d4789a00-2834-11f1-a2b2-c9cd62fbe2e2.jpg</v>
      </c>
      <c r="N4" s="9" t="s">
        <v>363</v>
      </c>
      <c r="O4" s="7" t="s">
        <v>242</v>
      </c>
      <c r="P4" s="5">
        <v>13.020823399999999</v>
      </c>
      <c r="Q4" s="5">
        <v>77.594556100000005</v>
      </c>
      <c r="R4" s="5" t="s">
        <v>244</v>
      </c>
      <c r="S4" s="4">
        <v>18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3">
        <v>0</v>
      </c>
      <c r="Z4" s="3">
        <v>0</v>
      </c>
      <c r="AA4" s="3"/>
    </row>
    <row r="5" spans="1:27" x14ac:dyDescent="0.3">
      <c r="A5" s="9">
        <v>3</v>
      </c>
      <c r="B5" s="10">
        <v>105</v>
      </c>
      <c r="C5" s="9"/>
      <c r="D5" s="11" t="s">
        <v>127</v>
      </c>
      <c r="E5" s="11" t="s">
        <v>89</v>
      </c>
      <c r="F5" s="9"/>
      <c r="G5" s="8" t="str">
        <f>VLOOKUP(K5,[1]Sheet1!$B:$F,5,0)</f>
        <v>https://schnell-s3-image.s3.ap-south-1.amazonaws.com/luminator/978cd5c0-c088-11f0-ad58-9342830ccdd3.jpg</v>
      </c>
      <c r="H5" s="8" t="str">
        <f t="shared" si="0"/>
        <v>https://schnell-s3-image.s3.ap-south-1.amazonaws.com/luminator/978cd5c0-c088-11f0-ad58-9342830ccdd3.jpg</v>
      </c>
      <c r="I5" s="9" t="s">
        <v>184</v>
      </c>
      <c r="J5" s="9">
        <v>71</v>
      </c>
      <c r="K5" s="5" t="s">
        <v>29</v>
      </c>
      <c r="L5" s="8" t="s">
        <v>305</v>
      </c>
      <c r="M5" s="8" t="str">
        <f t="shared" si="1"/>
        <v>https://schnell-s3-image.s3.ap-south-1.amazonaws.com/luminator/2a2c5250-2f21-11f1-95d0-47be28da52ba.jpg</v>
      </c>
      <c r="N5" s="9" t="s">
        <v>363</v>
      </c>
      <c r="O5" s="7" t="s">
        <v>242</v>
      </c>
      <c r="P5" s="5">
        <v>13.020950900000001</v>
      </c>
      <c r="Q5" s="5">
        <v>77.594136899999995</v>
      </c>
      <c r="R5" s="5" t="s">
        <v>245</v>
      </c>
      <c r="S5" s="4">
        <v>10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3">
        <v>0</v>
      </c>
      <c r="Z5" s="3">
        <v>0</v>
      </c>
      <c r="AA5" s="3"/>
    </row>
    <row r="6" spans="1:27" x14ac:dyDescent="0.3">
      <c r="A6" s="9">
        <v>4</v>
      </c>
      <c r="B6" s="10">
        <v>28</v>
      </c>
      <c r="C6" s="9"/>
      <c r="D6" s="11" t="s">
        <v>128</v>
      </c>
      <c r="E6" s="11" t="s">
        <v>90</v>
      </c>
      <c r="F6" s="9"/>
      <c r="G6" s="8" t="str">
        <f>VLOOKUP(K6,[1]Sheet1!$B:$F,5,0)</f>
        <v>https://schnell-s3-image.s3.ap-south-1.amazonaws.com/luminator/857bc7a0-bec2-11f0-8aeb-3f8553bef229.jpg</v>
      </c>
      <c r="H6" s="8" t="str">
        <f t="shared" si="0"/>
        <v>https://schnell-s3-image.s3.ap-south-1.amazonaws.com/luminator/857bc7a0-bec2-11f0-8aeb-3f8553bef229.jpg</v>
      </c>
      <c r="I6" s="9" t="s">
        <v>185</v>
      </c>
      <c r="J6" s="9">
        <v>6</v>
      </c>
      <c r="K6" s="5" t="s">
        <v>30</v>
      </c>
      <c r="L6" s="8" t="s">
        <v>306</v>
      </c>
      <c r="M6" s="8" t="str">
        <f t="shared" si="1"/>
        <v>https://schnell-s3-image.s3.ap-south-1.amazonaws.com/luminator/a8fcf8d0-2e92-11f1-9478-73b950bbe7e8.jpg</v>
      </c>
      <c r="N6" s="9" t="s">
        <v>363</v>
      </c>
      <c r="O6" s="7" t="s">
        <v>242</v>
      </c>
      <c r="P6" s="5">
        <v>13.0204524</v>
      </c>
      <c r="Q6" s="5">
        <v>77.596030200000001</v>
      </c>
      <c r="R6" s="5" t="s">
        <v>246</v>
      </c>
      <c r="S6" s="4">
        <v>9</v>
      </c>
      <c r="T6" s="4">
        <v>0</v>
      </c>
      <c r="U6" s="4">
        <v>0</v>
      </c>
      <c r="V6" s="4">
        <v>0</v>
      </c>
      <c r="W6" s="4">
        <v>0</v>
      </c>
      <c r="X6" s="4">
        <v>1</v>
      </c>
      <c r="Y6" s="3">
        <v>3</v>
      </c>
      <c r="Z6" s="3">
        <v>0</v>
      </c>
      <c r="AA6" s="3"/>
    </row>
    <row r="7" spans="1:27" x14ac:dyDescent="0.3">
      <c r="A7" s="9">
        <v>5</v>
      </c>
      <c r="B7" s="10">
        <v>28</v>
      </c>
      <c r="C7" s="9"/>
      <c r="D7" s="11" t="s">
        <v>129</v>
      </c>
      <c r="E7" s="11" t="s">
        <v>91</v>
      </c>
      <c r="F7" s="9"/>
      <c r="G7" s="8" t="str">
        <f>VLOOKUP(K7,[1]Sheet1!$B:$F,5,0)</f>
        <v>https://schnell-s3-image.s3.ap-south-1.amazonaws.com/luminator/a51240c0-c11b-11f0-8cbb-d54d266144bc.jpg</v>
      </c>
      <c r="H7" s="8" t="str">
        <f t="shared" si="0"/>
        <v>https://schnell-s3-image.s3.ap-south-1.amazonaws.com/luminator/a51240c0-c11b-11f0-8cbb-d54d266144bc.jpg</v>
      </c>
      <c r="I7" s="9" t="s">
        <v>186</v>
      </c>
      <c r="J7" s="9">
        <v>11</v>
      </c>
      <c r="K7" s="5" t="s">
        <v>31</v>
      </c>
      <c r="L7" s="8" t="s">
        <v>307</v>
      </c>
      <c r="M7" s="8" t="str">
        <f t="shared" si="1"/>
        <v>https://schnell-s3-image.s3.ap-south-1.amazonaws.com/luminator/79b67000-2f29-11f1-95d0-47be28da52ba.jpg</v>
      </c>
      <c r="N7" s="9" t="s">
        <v>363</v>
      </c>
      <c r="O7" s="7" t="s">
        <v>242</v>
      </c>
      <c r="P7" s="5">
        <v>13.020578</v>
      </c>
      <c r="Q7" s="5">
        <v>77.595546499999998</v>
      </c>
      <c r="R7" s="5" t="s">
        <v>247</v>
      </c>
      <c r="S7" s="4">
        <v>13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3">
        <v>0</v>
      </c>
      <c r="Z7" s="3">
        <v>0</v>
      </c>
      <c r="AA7" s="3"/>
    </row>
    <row r="8" spans="1:27" x14ac:dyDescent="0.3">
      <c r="A8" s="9">
        <v>6</v>
      </c>
      <c r="B8" s="10">
        <v>107</v>
      </c>
      <c r="C8" s="9"/>
      <c r="D8" s="11" t="s">
        <v>130</v>
      </c>
      <c r="E8" s="11">
        <v>862774081</v>
      </c>
      <c r="F8" s="9"/>
      <c r="G8" s="8" t="str">
        <f>VLOOKUP(K8,[1]Sheet1!$B:$F,5,0)</f>
        <v>https://schnell-s3-image.s3.ap-south-1.amazonaws.com/luminator/9725cff0-c11f-11f0-8cbb-d54d266144bc.jpg</v>
      </c>
      <c r="H8" s="8" t="str">
        <f t="shared" si="0"/>
        <v>https://schnell-s3-image.s3.ap-south-1.amazonaws.com/luminator/9725cff0-c11f-11f0-8cbb-d54d266144bc.jpg</v>
      </c>
      <c r="I8" s="9" t="s">
        <v>187</v>
      </c>
      <c r="J8" s="9">
        <v>4</v>
      </c>
      <c r="K8" s="5" t="s">
        <v>32</v>
      </c>
      <c r="L8" s="8" t="s">
        <v>308</v>
      </c>
      <c r="M8" s="8" t="str">
        <f t="shared" si="1"/>
        <v>https://schnell-s3-image.s3.ap-south-1.amazonaws.com/luminator/0e46ccc0-332a-11f1-b1cf-e1f7c075797f.jpg</v>
      </c>
      <c r="N8" s="9" t="s">
        <v>363</v>
      </c>
      <c r="O8" s="7" t="s">
        <v>242</v>
      </c>
      <c r="P8" s="5">
        <v>13.0180197</v>
      </c>
      <c r="Q8" s="5">
        <v>77.595379199999996</v>
      </c>
      <c r="R8" s="5" t="s">
        <v>248</v>
      </c>
      <c r="S8" s="4">
        <v>10</v>
      </c>
      <c r="T8" s="4">
        <v>11</v>
      </c>
      <c r="U8" s="4">
        <v>0</v>
      </c>
      <c r="V8" s="4">
        <v>0</v>
      </c>
      <c r="W8" s="4">
        <v>0</v>
      </c>
      <c r="X8" s="4">
        <v>5</v>
      </c>
      <c r="Y8" s="3">
        <v>6</v>
      </c>
      <c r="Z8" s="3">
        <v>0</v>
      </c>
      <c r="AA8" s="3"/>
    </row>
    <row r="9" spans="1:27" x14ac:dyDescent="0.3">
      <c r="A9" s="9">
        <v>7</v>
      </c>
      <c r="B9" s="10">
        <v>22</v>
      </c>
      <c r="C9" s="9"/>
      <c r="D9" s="11" t="s">
        <v>131</v>
      </c>
      <c r="E9" s="11">
        <v>8627740819</v>
      </c>
      <c r="F9" s="9"/>
      <c r="G9" s="8" t="str">
        <f>VLOOKUP(K9,[1]Sheet1!$B:$F,5,0)</f>
        <v>https://schnell-s3-image.s3.ap-south-1.amazonaws.com/luminator/6f02ca90-c125-11f0-8cbb-d54d266144bc.jpg</v>
      </c>
      <c r="H9" s="8" t="str">
        <f t="shared" si="0"/>
        <v>https://schnell-s3-image.s3.ap-south-1.amazonaws.com/luminator/6f02ca90-c125-11f0-8cbb-d54d266144bc.jpg</v>
      </c>
      <c r="I9" s="9" t="s">
        <v>188</v>
      </c>
      <c r="J9" s="9">
        <v>5</v>
      </c>
      <c r="K9" s="5" t="s">
        <v>33</v>
      </c>
      <c r="L9" s="8" t="s">
        <v>309</v>
      </c>
      <c r="M9" s="8" t="str">
        <f t="shared" si="1"/>
        <v>https://schnell-s3-image.s3.ap-south-1.amazonaws.com/luminator/49aeb2d0-331d-11f1-95c4-2993055260f5.jpg</v>
      </c>
      <c r="N9" s="9" t="s">
        <v>363</v>
      </c>
      <c r="O9" s="7" t="s">
        <v>242</v>
      </c>
      <c r="P9" s="5">
        <v>13.019656299999999</v>
      </c>
      <c r="Q9" s="5">
        <v>77.594636199999997</v>
      </c>
      <c r="R9" s="5" t="s">
        <v>249</v>
      </c>
      <c r="S9" s="4">
        <v>9</v>
      </c>
      <c r="T9" s="4">
        <v>1</v>
      </c>
      <c r="U9" s="4">
        <v>0</v>
      </c>
      <c r="V9" s="4">
        <v>0</v>
      </c>
      <c r="W9" s="4">
        <v>0</v>
      </c>
      <c r="X9" s="4">
        <v>2</v>
      </c>
      <c r="Y9" s="3">
        <v>2</v>
      </c>
      <c r="Z9" s="3">
        <v>0</v>
      </c>
      <c r="AA9" s="3"/>
    </row>
    <row r="10" spans="1:27" x14ac:dyDescent="0.3">
      <c r="A10" s="9">
        <v>8</v>
      </c>
      <c r="B10" s="10">
        <v>122</v>
      </c>
      <c r="C10" s="9"/>
      <c r="D10" s="11" t="s">
        <v>132</v>
      </c>
      <c r="E10" s="11" t="s">
        <v>92</v>
      </c>
      <c r="F10" s="9"/>
      <c r="G10" s="8" t="str">
        <f>VLOOKUP(K10,[1]Sheet1!$B:$F,5,0)</f>
        <v>https://schnell-s3-image.s3.ap-south-1.amazonaws.com/luminator/eb1fa3d0-c127-11f0-9e2f-f34807d87a5d.jpg</v>
      </c>
      <c r="H10" s="8" t="str">
        <f t="shared" si="0"/>
        <v>https://schnell-s3-image.s3.ap-south-1.amazonaws.com/luminator/eb1fa3d0-c127-11f0-9e2f-f34807d87a5d.jpg</v>
      </c>
      <c r="I10" s="9" t="s">
        <v>189</v>
      </c>
      <c r="J10" s="9">
        <v>7</v>
      </c>
      <c r="K10" s="5" t="s">
        <v>34</v>
      </c>
      <c r="L10" s="8" t="s">
        <v>310</v>
      </c>
      <c r="M10" s="8" t="str">
        <f t="shared" si="1"/>
        <v>https://schnell-s3-image.s3.ap-south-1.amazonaws.com/luminator/510575d0-2e5b-11f1-adc8-e13934f1c6ba.jpg</v>
      </c>
      <c r="N10" s="9" t="s">
        <v>363</v>
      </c>
      <c r="O10" s="7" t="s">
        <v>242</v>
      </c>
      <c r="P10" s="5">
        <v>13.0239131</v>
      </c>
      <c r="Q10" s="5">
        <v>77.597337100000004</v>
      </c>
      <c r="R10" s="5" t="s">
        <v>250</v>
      </c>
      <c r="S10" s="4">
        <v>26</v>
      </c>
      <c r="T10" s="4">
        <v>6</v>
      </c>
      <c r="U10" s="4">
        <v>0</v>
      </c>
      <c r="V10" s="4">
        <v>0</v>
      </c>
      <c r="W10" s="4">
        <v>0</v>
      </c>
      <c r="X10" s="4">
        <v>0</v>
      </c>
      <c r="Y10" s="3">
        <v>7</v>
      </c>
      <c r="Z10" s="3">
        <v>0</v>
      </c>
      <c r="AA10" s="3"/>
    </row>
    <row r="11" spans="1:27" x14ac:dyDescent="0.3">
      <c r="A11" s="9">
        <v>9</v>
      </c>
      <c r="B11" s="10">
        <v>123</v>
      </c>
      <c r="C11" s="9"/>
      <c r="D11" s="11" t="s">
        <v>133</v>
      </c>
      <c r="E11" s="11" t="s">
        <v>93</v>
      </c>
      <c r="F11" s="9"/>
      <c r="G11" s="8" t="str">
        <f>VLOOKUP(K11,[1]Sheet1!$B:$F,5,0)</f>
        <v>https://schnell-s3-image.s3.ap-south-1.amazonaws.com/luminator/629e8060-c129-11f0-9e2f-f34807d87a5d.jpg</v>
      </c>
      <c r="H11" s="8" t="str">
        <f t="shared" si="0"/>
        <v>https://schnell-s3-image.s3.ap-south-1.amazonaws.com/luminator/629e8060-c129-11f0-9e2f-f34807d87a5d.jpg</v>
      </c>
      <c r="I11" s="9" t="s">
        <v>190</v>
      </c>
      <c r="J11" s="9">
        <v>1</v>
      </c>
      <c r="K11" s="5" t="s">
        <v>35</v>
      </c>
      <c r="L11" s="8" t="s">
        <v>311</v>
      </c>
      <c r="M11" s="8" t="str">
        <f t="shared" si="1"/>
        <v>https://schnell-s3-image.s3.ap-south-1.amazonaws.com/luminator/cad999c0-2e6c-11f1-adc8-e13934f1c6ba.jpg</v>
      </c>
      <c r="N11" s="9" t="s">
        <v>363</v>
      </c>
      <c r="O11" s="7" t="s">
        <v>242</v>
      </c>
      <c r="P11" s="5">
        <v>13.021446900000001</v>
      </c>
      <c r="Q11" s="5">
        <v>77.597997899999996</v>
      </c>
      <c r="R11" s="5" t="s">
        <v>251</v>
      </c>
      <c r="S11" s="4">
        <v>9</v>
      </c>
      <c r="T11" s="4">
        <v>2</v>
      </c>
      <c r="U11" s="4">
        <v>0</v>
      </c>
      <c r="V11" s="4">
        <v>0</v>
      </c>
      <c r="W11" s="4">
        <v>0</v>
      </c>
      <c r="X11" s="4">
        <v>6</v>
      </c>
      <c r="Y11" s="3">
        <v>4</v>
      </c>
      <c r="Z11" s="3">
        <v>0</v>
      </c>
      <c r="AA11" s="3"/>
    </row>
    <row r="12" spans="1:27" x14ac:dyDescent="0.3">
      <c r="A12" s="9">
        <v>10</v>
      </c>
      <c r="B12" s="10">
        <v>28</v>
      </c>
      <c r="C12" s="9"/>
      <c r="D12" s="11" t="s">
        <v>134</v>
      </c>
      <c r="E12" s="11" t="s">
        <v>94</v>
      </c>
      <c r="F12" s="9"/>
      <c r="G12" s="8" t="str">
        <f>VLOOKUP(K12,[1]Sheet1!$B:$F,5,0)</f>
        <v>https://schnell-s3-image.s3.ap-south-1.amazonaws.com/luminator/24b0f110-bf9a-11f0-9aba-735a45fdcf81.jpg</v>
      </c>
      <c r="H12" s="8" t="str">
        <f t="shared" si="0"/>
        <v>https://schnell-s3-image.s3.ap-south-1.amazonaws.com/luminator/24b0f110-bf9a-11f0-9aba-735a45fdcf81.jpg</v>
      </c>
      <c r="I12" s="9" t="s">
        <v>191</v>
      </c>
      <c r="J12" s="9">
        <v>0</v>
      </c>
      <c r="K12" s="5" t="s">
        <v>36</v>
      </c>
      <c r="L12" s="8" t="s">
        <v>312</v>
      </c>
      <c r="M12" s="8" t="str">
        <f t="shared" si="1"/>
        <v>https://schnell-s3-image.s3.ap-south-1.amazonaws.com/luminator/61229750-2f1d-11f1-95d0-47be28da52ba.jpg</v>
      </c>
      <c r="N12" s="9" t="s">
        <v>363</v>
      </c>
      <c r="O12" s="7" t="s">
        <v>242</v>
      </c>
      <c r="P12" s="5">
        <v>13.0215031</v>
      </c>
      <c r="Q12" s="5">
        <v>77.595703799999995</v>
      </c>
      <c r="R12" s="5" t="s">
        <v>252</v>
      </c>
      <c r="S12" s="4">
        <v>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3">
        <v>0</v>
      </c>
      <c r="Z12" s="3">
        <v>0</v>
      </c>
      <c r="AA12" s="3"/>
    </row>
    <row r="13" spans="1:27" x14ac:dyDescent="0.3">
      <c r="A13" s="9">
        <v>11</v>
      </c>
      <c r="B13" s="10">
        <v>60</v>
      </c>
      <c r="C13" s="9"/>
      <c r="D13" s="11" t="s">
        <v>135</v>
      </c>
      <c r="E13" s="11" t="s">
        <v>95</v>
      </c>
      <c r="F13" s="9"/>
      <c r="G13" s="8" t="str">
        <f>VLOOKUP(K13,[1]Sheet1!$B:$F,5,0)</f>
        <v>https://schnell-s3-image.s3.ap-south-1.amazonaws.com/luminator/ebbf5c50-fdda-11f0-b7cb-5530d0c4b336.jpg</v>
      </c>
      <c r="H13" s="8" t="str">
        <f t="shared" si="0"/>
        <v>https://schnell-s3-image.s3.ap-south-1.amazonaws.com/luminator/ebbf5c50-fdda-11f0-b7cb-5530d0c4b336.jpg</v>
      </c>
      <c r="I13" s="9" t="s">
        <v>192</v>
      </c>
      <c r="J13" s="9">
        <v>3</v>
      </c>
      <c r="K13" s="5" t="s">
        <v>37</v>
      </c>
      <c r="L13" s="8" t="s">
        <v>313</v>
      </c>
      <c r="M13" s="8" t="str">
        <f t="shared" si="1"/>
        <v>https://schnell-s3-image.s3.ap-south-1.amazonaws.com/luminator/ffc429e0-2e60-11f1-adc8-e13934f1c6ba.jpg</v>
      </c>
      <c r="N13" s="9" t="s">
        <v>363</v>
      </c>
      <c r="O13" s="7" t="s">
        <v>242</v>
      </c>
      <c r="P13" s="5">
        <v>13.0232449</v>
      </c>
      <c r="Q13" s="5">
        <v>77.597740599999995</v>
      </c>
      <c r="R13" s="5" t="s">
        <v>253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2</v>
      </c>
      <c r="Y13" s="3">
        <v>4</v>
      </c>
      <c r="Z13" s="3">
        <v>0</v>
      </c>
      <c r="AA13" s="3"/>
    </row>
    <row r="14" spans="1:27" x14ac:dyDescent="0.3">
      <c r="A14" s="9">
        <v>12</v>
      </c>
      <c r="B14" s="10">
        <v>14</v>
      </c>
      <c r="C14" s="9"/>
      <c r="D14" s="11" t="s">
        <v>136</v>
      </c>
      <c r="E14" s="11" t="s">
        <v>96</v>
      </c>
      <c r="F14" s="9"/>
      <c r="G14" s="8" t="str">
        <f>VLOOKUP(K14,[1]Sheet1!$B:$F,5,0)</f>
        <v>https://schnell-s3-image.s3.ap-south-1.amazonaws.com/luminator/d3526d30-c070-11f0-ad58-9342830ccdd3.jpg</v>
      </c>
      <c r="H14" s="8" t="str">
        <f t="shared" si="0"/>
        <v>https://schnell-s3-image.s3.ap-south-1.amazonaws.com/luminator/d3526d30-c070-11f0-ad58-9342830ccdd3.jpg</v>
      </c>
      <c r="I14" s="9" t="s">
        <v>193</v>
      </c>
      <c r="J14" s="9">
        <v>4</v>
      </c>
      <c r="K14" s="5" t="s">
        <v>38</v>
      </c>
      <c r="L14" s="8" t="s">
        <v>314</v>
      </c>
      <c r="M14" s="8" t="str">
        <f t="shared" si="1"/>
        <v>https://schnell-s3-image.s3.ap-south-1.amazonaws.com/luminator/17fb9ba0-2e76-11f1-adc8-e13934f1c6ba.jpg</v>
      </c>
      <c r="N14" s="9" t="s">
        <v>363</v>
      </c>
      <c r="O14" s="7" t="s">
        <v>242</v>
      </c>
      <c r="P14" s="5">
        <v>13.022245699999999</v>
      </c>
      <c r="Q14" s="5">
        <v>77.5977125</v>
      </c>
      <c r="R14" s="5" t="s">
        <v>254</v>
      </c>
      <c r="S14" s="4">
        <v>17</v>
      </c>
      <c r="T14" s="4">
        <v>0</v>
      </c>
      <c r="U14" s="4">
        <v>0</v>
      </c>
      <c r="V14" s="4">
        <v>0</v>
      </c>
      <c r="W14" s="4">
        <v>0</v>
      </c>
      <c r="X14" s="4">
        <v>15</v>
      </c>
      <c r="Y14" s="3">
        <v>2</v>
      </c>
      <c r="Z14" s="3">
        <v>0</v>
      </c>
      <c r="AA14" s="3"/>
    </row>
    <row r="15" spans="1:27" x14ac:dyDescent="0.3">
      <c r="A15" s="9">
        <v>13</v>
      </c>
      <c r="B15" s="10" t="s">
        <v>120</v>
      </c>
      <c r="C15" s="9"/>
      <c r="D15" s="11" t="s">
        <v>137</v>
      </c>
      <c r="E15" s="11">
        <v>50415193</v>
      </c>
      <c r="F15" s="9"/>
      <c r="G15" s="8" t="str">
        <f>VLOOKUP(K15,[1]Sheet1!$B:$F,5,0)</f>
        <v>https://schnell-s3-image.s3.ap-south-1.amazonaws.com/luminator/b44b88c0-bfaa-11f0-9aba-735a45fdcf81.jpg</v>
      </c>
      <c r="H15" s="8" t="str">
        <f t="shared" si="0"/>
        <v>https://schnell-s3-image.s3.ap-south-1.amazonaws.com/luminator/b44b88c0-bfaa-11f0-9aba-735a45fdcf81.jpg</v>
      </c>
      <c r="I15" s="9" t="s">
        <v>194</v>
      </c>
      <c r="J15" s="9">
        <v>5</v>
      </c>
      <c r="K15" s="5" t="s">
        <v>39</v>
      </c>
      <c r="L15" s="8" t="s">
        <v>315</v>
      </c>
      <c r="M15" s="8" t="str">
        <f t="shared" si="1"/>
        <v>https://schnell-s3-image.s3.ap-south-1.amazonaws.com/luminator/104fd270-445d-11f1-8152-430214e8bf6d.jpg</v>
      </c>
      <c r="N15" s="9" t="s">
        <v>363</v>
      </c>
      <c r="O15" s="7" t="s">
        <v>242</v>
      </c>
      <c r="P15" s="5">
        <v>13.0139684</v>
      </c>
      <c r="Q15" s="5">
        <v>77.596230000000006</v>
      </c>
      <c r="R15" s="5" t="s">
        <v>255</v>
      </c>
      <c r="S15" s="4">
        <v>11</v>
      </c>
      <c r="T15" s="4">
        <v>0</v>
      </c>
      <c r="U15" s="4">
        <v>0</v>
      </c>
      <c r="V15" s="4">
        <v>0</v>
      </c>
      <c r="W15" s="4">
        <v>0</v>
      </c>
      <c r="X15" s="4">
        <v>5</v>
      </c>
      <c r="Y15" s="3">
        <v>1</v>
      </c>
      <c r="Z15" s="3">
        <v>0</v>
      </c>
      <c r="AA15" s="3"/>
    </row>
    <row r="16" spans="1:27" x14ac:dyDescent="0.3">
      <c r="A16" s="9">
        <v>14</v>
      </c>
      <c r="B16" s="10">
        <v>84</v>
      </c>
      <c r="C16" s="9"/>
      <c r="D16" s="11" t="s">
        <v>138</v>
      </c>
      <c r="E16" s="11" t="s">
        <v>97</v>
      </c>
      <c r="F16" s="9"/>
      <c r="G16" s="8" t="str">
        <f>VLOOKUP(K16,[1]Sheet1!$B:$F,5,0)</f>
        <v>https://schnell-s3-image.s3.ap-south-1.amazonaws.com/luminator/b29ab220-c073-11f0-ad58-9342830ccdd3.jpg</v>
      </c>
      <c r="H16" s="8" t="str">
        <f t="shared" si="0"/>
        <v>https://schnell-s3-image.s3.ap-south-1.amazonaws.com/luminator/b29ab220-c073-11f0-ad58-9342830ccdd3.jpg</v>
      </c>
      <c r="I16" s="9" t="s">
        <v>195</v>
      </c>
      <c r="J16" s="9">
        <v>5</v>
      </c>
      <c r="K16" s="5" t="s">
        <v>40</v>
      </c>
      <c r="L16" s="8" t="s">
        <v>316</v>
      </c>
      <c r="M16" s="8" t="str">
        <f t="shared" si="1"/>
        <v>https://schnell-s3-image.s3.ap-south-1.amazonaws.com/luminator/6f5ec980-2e8f-11f1-9478-73b950bbe7e8.jpg</v>
      </c>
      <c r="N16" s="9" t="s">
        <v>363</v>
      </c>
      <c r="O16" s="7" t="s">
        <v>242</v>
      </c>
      <c r="P16" s="5">
        <v>13.022517300000001</v>
      </c>
      <c r="Q16" s="5">
        <v>77.595797000000005</v>
      </c>
      <c r="R16" s="5" t="s">
        <v>256</v>
      </c>
      <c r="S16" s="4">
        <v>6</v>
      </c>
      <c r="T16" s="4">
        <v>1</v>
      </c>
      <c r="U16" s="4">
        <v>0</v>
      </c>
      <c r="V16" s="4">
        <v>0</v>
      </c>
      <c r="W16" s="4">
        <v>0</v>
      </c>
      <c r="X16" s="4">
        <v>12</v>
      </c>
      <c r="Y16" s="3">
        <v>0</v>
      </c>
      <c r="Z16" s="3">
        <v>0</v>
      </c>
      <c r="AA16" s="3"/>
    </row>
    <row r="17" spans="1:27" x14ac:dyDescent="0.3">
      <c r="A17" s="9">
        <v>15</v>
      </c>
      <c r="B17" s="10">
        <v>32</v>
      </c>
      <c r="C17" s="9"/>
      <c r="D17" s="11" t="s">
        <v>139</v>
      </c>
      <c r="E17" s="11" t="s">
        <v>98</v>
      </c>
      <c r="F17" s="9"/>
      <c r="G17" s="8" t="str">
        <f>VLOOKUP(K17,[1]Sheet1!$B:$F,5,0)</f>
        <v>https://schnell-s3-image.s3.ap-south-1.amazonaws.com/luminator/8fdbabd0-c06a-11f0-ad58-9342830ccdd3.jpg</v>
      </c>
      <c r="H17" s="8" t="str">
        <f t="shared" si="0"/>
        <v>https://schnell-s3-image.s3.ap-south-1.amazonaws.com/luminator/8fdbabd0-c06a-11f0-ad58-9342830ccdd3.jpg</v>
      </c>
      <c r="I17" s="9" t="s">
        <v>196</v>
      </c>
      <c r="J17" s="9">
        <v>1</v>
      </c>
      <c r="K17" s="5" t="s">
        <v>41</v>
      </c>
      <c r="L17" s="8" t="s">
        <v>317</v>
      </c>
      <c r="M17" s="8" t="str">
        <f t="shared" si="1"/>
        <v>https://schnell-s3-image.s3.ap-south-1.amazonaws.com/luminator/da76c1a0-2e85-11f1-9478-73b950bbe7e8.jpg</v>
      </c>
      <c r="N17" s="9" t="s">
        <v>363</v>
      </c>
      <c r="O17" s="7" t="s">
        <v>242</v>
      </c>
      <c r="P17" s="5">
        <v>13.0234237</v>
      </c>
      <c r="Q17" s="5">
        <v>77.594644000000002</v>
      </c>
      <c r="R17" s="5" t="s">
        <v>257</v>
      </c>
      <c r="S17" s="4">
        <v>13</v>
      </c>
      <c r="T17" s="4">
        <v>0</v>
      </c>
      <c r="U17" s="4">
        <v>0</v>
      </c>
      <c r="V17" s="4">
        <v>0</v>
      </c>
      <c r="W17" s="4">
        <v>0</v>
      </c>
      <c r="X17" s="4">
        <v>9</v>
      </c>
      <c r="Y17" s="3">
        <v>0</v>
      </c>
      <c r="Z17" s="3">
        <v>0</v>
      </c>
      <c r="AA17" s="3"/>
    </row>
    <row r="18" spans="1:27" x14ac:dyDescent="0.3">
      <c r="A18" s="9">
        <v>16</v>
      </c>
      <c r="B18" s="10">
        <v>67</v>
      </c>
      <c r="C18" s="9"/>
      <c r="D18" s="11" t="s">
        <v>140</v>
      </c>
      <c r="E18" s="11" t="s">
        <v>99</v>
      </c>
      <c r="F18" s="9"/>
      <c r="G18" s="8" t="str">
        <f>VLOOKUP(K18,[1]Sheet1!$B:$F,5,0)</f>
        <v>https://schnell-s3-image.s3.ap-south-1.amazonaws.com/luminator/0c4fecb0-fd9e-11f0-b869-c902e97c8354.jpg</v>
      </c>
      <c r="H18" s="8" t="str">
        <f t="shared" si="0"/>
        <v>https://schnell-s3-image.s3.ap-south-1.amazonaws.com/luminator/0c4fecb0-fd9e-11f0-b869-c902e97c8354.jpg</v>
      </c>
      <c r="I18" s="9" t="s">
        <v>197</v>
      </c>
      <c r="J18" s="9">
        <v>12</v>
      </c>
      <c r="K18" s="5" t="s">
        <v>42</v>
      </c>
      <c r="L18" s="8" t="s">
        <v>318</v>
      </c>
      <c r="M18" s="8" t="str">
        <f t="shared" si="1"/>
        <v>https://schnell-s3-image.s3.ap-south-1.amazonaws.com/luminator/fc53fbc0-2f44-11f1-9fdb-37e9704e8c72.jpg</v>
      </c>
      <c r="N18" s="9" t="s">
        <v>363</v>
      </c>
      <c r="O18" s="7" t="s">
        <v>242</v>
      </c>
      <c r="P18" s="5">
        <v>13.020346399999999</v>
      </c>
      <c r="Q18" s="5">
        <v>77.596490900000006</v>
      </c>
      <c r="R18" s="5" t="s">
        <v>258</v>
      </c>
      <c r="S18" s="4">
        <v>2</v>
      </c>
      <c r="T18" s="4">
        <v>0</v>
      </c>
      <c r="U18" s="4">
        <v>0</v>
      </c>
      <c r="V18" s="4">
        <v>0</v>
      </c>
      <c r="W18" s="4">
        <v>0</v>
      </c>
      <c r="X18" s="4">
        <v>7</v>
      </c>
      <c r="Y18" s="3">
        <v>0</v>
      </c>
      <c r="Z18" s="3">
        <v>0</v>
      </c>
      <c r="AA18" s="3"/>
    </row>
    <row r="19" spans="1:27" x14ac:dyDescent="0.3">
      <c r="A19" s="9">
        <v>17</v>
      </c>
      <c r="B19" s="10">
        <v>14</v>
      </c>
      <c r="C19" s="9"/>
      <c r="D19" s="11" t="s">
        <v>141</v>
      </c>
      <c r="E19" s="11" t="s">
        <v>100</v>
      </c>
      <c r="F19" s="9"/>
      <c r="G19" s="8" t="str">
        <f>VLOOKUP(K19,[1]Sheet1!$B:$F,5,0)</f>
        <v>https://schnell-s3-image.s3.ap-south-1.amazonaws.com/luminator/57ec2370-c052-11f0-ad58-9342830ccdd3.jpg</v>
      </c>
      <c r="H19" s="8" t="str">
        <f t="shared" si="0"/>
        <v>https://schnell-s3-image.s3.ap-south-1.amazonaws.com/luminator/57ec2370-c052-11f0-ad58-9342830ccdd3.jpg</v>
      </c>
      <c r="I19" s="9" t="s">
        <v>198</v>
      </c>
      <c r="J19" s="9">
        <v>3</v>
      </c>
      <c r="K19" s="5" t="s">
        <v>43</v>
      </c>
      <c r="L19" s="8" t="s">
        <v>319</v>
      </c>
      <c r="M19" s="8" t="str">
        <f t="shared" si="1"/>
        <v>https://schnell-s3-image.s3.ap-south-1.amazonaws.com/luminator/ae01fdd0-2f19-11f1-95d0-47be28da52ba.jpg</v>
      </c>
      <c r="N19" s="9" t="s">
        <v>363</v>
      </c>
      <c r="O19" s="7" t="s">
        <v>242</v>
      </c>
      <c r="P19" s="5">
        <v>13.022007500000001</v>
      </c>
      <c r="Q19" s="5">
        <v>77.596841400000002</v>
      </c>
      <c r="R19" s="5" t="s">
        <v>259</v>
      </c>
      <c r="S19" s="4">
        <v>3</v>
      </c>
      <c r="T19" s="4">
        <v>0</v>
      </c>
      <c r="U19" s="4">
        <v>0</v>
      </c>
      <c r="V19" s="4">
        <v>0</v>
      </c>
      <c r="W19" s="4">
        <v>0</v>
      </c>
      <c r="X19" s="4">
        <v>5</v>
      </c>
      <c r="Y19" s="3">
        <v>0</v>
      </c>
      <c r="Z19" s="3">
        <v>0</v>
      </c>
      <c r="AA19" s="3"/>
    </row>
    <row r="20" spans="1:27" x14ac:dyDescent="0.3">
      <c r="A20" s="9">
        <v>18</v>
      </c>
      <c r="B20" s="10">
        <v>24</v>
      </c>
      <c r="C20" s="9"/>
      <c r="D20" s="11" t="s">
        <v>142</v>
      </c>
      <c r="E20" s="11" t="s">
        <v>101</v>
      </c>
      <c r="F20" s="9"/>
      <c r="G20" s="8" t="str">
        <f>VLOOKUP(K20,[1]Sheet1!$B:$F,5,0)</f>
        <v>https://schnell-s3-image.s3.ap-south-1.amazonaws.com/luminator/f6fa6c70-bf93-11f0-9aba-735a45fdcf81.jpg</v>
      </c>
      <c r="H20" s="8" t="str">
        <f t="shared" si="0"/>
        <v>https://schnell-s3-image.s3.ap-south-1.amazonaws.com/luminator/f6fa6c70-bf93-11f0-9aba-735a45fdcf81.jpg</v>
      </c>
      <c r="I20" s="9" t="s">
        <v>199</v>
      </c>
      <c r="J20" s="9">
        <v>3</v>
      </c>
      <c r="K20" s="5" t="s">
        <v>44</v>
      </c>
      <c r="L20" s="8" t="s">
        <v>320</v>
      </c>
      <c r="M20" s="8" t="str">
        <f t="shared" si="1"/>
        <v>https://schnell-s3-image.s3.ap-south-1.amazonaws.com/luminator/41e25590-2e66-11f1-adc8-e13934f1c6ba.jpg</v>
      </c>
      <c r="N20" s="9" t="s">
        <v>363</v>
      </c>
      <c r="O20" s="7" t="s">
        <v>242</v>
      </c>
      <c r="P20" s="5">
        <v>13.0235693</v>
      </c>
      <c r="Q20" s="5">
        <v>77.598725400000006</v>
      </c>
      <c r="R20" s="5" t="s">
        <v>260</v>
      </c>
      <c r="S20" s="4">
        <v>7</v>
      </c>
      <c r="T20" s="4">
        <v>2</v>
      </c>
      <c r="U20" s="4">
        <v>0</v>
      </c>
      <c r="V20" s="4">
        <v>0</v>
      </c>
      <c r="W20" s="4">
        <v>0</v>
      </c>
      <c r="X20" s="4">
        <v>1</v>
      </c>
      <c r="Y20" s="3">
        <v>1</v>
      </c>
      <c r="Z20" s="3">
        <v>0</v>
      </c>
      <c r="AA20" s="3"/>
    </row>
    <row r="21" spans="1:27" x14ac:dyDescent="0.3">
      <c r="A21" s="9">
        <v>19</v>
      </c>
      <c r="B21" s="10">
        <v>24</v>
      </c>
      <c r="C21" s="9"/>
      <c r="D21" s="11" t="s">
        <v>143</v>
      </c>
      <c r="E21" s="11" t="s">
        <v>102</v>
      </c>
      <c r="F21" s="9"/>
      <c r="G21" s="8" t="str">
        <f>VLOOKUP(K21,[1]Sheet1!$B:$F,5,0)</f>
        <v>https://schnell-s3-image.s3.ap-south-1.amazonaws.com/luminator/3b220ab0-bc8e-11f0-a28d-6d67ce6fdcbe.jpg</v>
      </c>
      <c r="H21" s="8" t="str">
        <f t="shared" si="0"/>
        <v>https://schnell-s3-image.s3.ap-south-1.amazonaws.com/luminator/3b220ab0-bc8e-11f0-a28d-6d67ce6fdcbe.jpg</v>
      </c>
      <c r="I21" s="9" t="s">
        <v>200</v>
      </c>
      <c r="J21" s="9">
        <v>5</v>
      </c>
      <c r="K21" s="5" t="s">
        <v>45</v>
      </c>
      <c r="L21" s="8" t="s">
        <v>321</v>
      </c>
      <c r="M21" s="8" t="str">
        <f t="shared" si="1"/>
        <v>https://schnell-s3-image.s3.ap-south-1.amazonaws.com/luminator/fd960ad0-2e56-11f1-adc8-e13934f1c6ba.jpg</v>
      </c>
      <c r="N21" s="9" t="s">
        <v>363</v>
      </c>
      <c r="O21" s="7" t="s">
        <v>242</v>
      </c>
      <c r="P21" s="5">
        <v>13.0243114</v>
      </c>
      <c r="Q21" s="5">
        <v>77.598934600000007</v>
      </c>
      <c r="R21" s="5" t="s">
        <v>261</v>
      </c>
      <c r="S21" s="4">
        <v>25</v>
      </c>
      <c r="T21" s="4">
        <v>3</v>
      </c>
      <c r="U21" s="4">
        <v>0</v>
      </c>
      <c r="V21" s="4">
        <v>0</v>
      </c>
      <c r="W21" s="4">
        <v>0</v>
      </c>
      <c r="X21" s="4">
        <v>11</v>
      </c>
      <c r="Y21" s="3">
        <v>6</v>
      </c>
      <c r="Z21" s="3">
        <v>0</v>
      </c>
      <c r="AA21" s="3"/>
    </row>
    <row r="22" spans="1:27" x14ac:dyDescent="0.3">
      <c r="A22" s="9">
        <v>20</v>
      </c>
      <c r="B22" s="10" t="s">
        <v>121</v>
      </c>
      <c r="C22" s="9"/>
      <c r="D22" s="11" t="s">
        <v>144</v>
      </c>
      <c r="E22" s="11">
        <v>49221486</v>
      </c>
      <c r="F22" s="9"/>
      <c r="G22" s="8" t="str">
        <f>VLOOKUP(K22,[1]Sheet1!$B:$F,5,0)</f>
        <v>https://schnell-s3-image.s3.ap-south-1.amazonaws.com/luminator/ab017b10-bfa7-11f0-9aba-735a45fdcf81.jpg</v>
      </c>
      <c r="H22" s="8" t="str">
        <f t="shared" si="0"/>
        <v>https://schnell-s3-image.s3.ap-south-1.amazonaws.com/luminator/ab017b10-bfa7-11f0-9aba-735a45fdcf81.jpg</v>
      </c>
      <c r="I22" s="9" t="s">
        <v>201</v>
      </c>
      <c r="J22" s="9">
        <v>2</v>
      </c>
      <c r="K22" s="5" t="s">
        <v>46</v>
      </c>
      <c r="L22" s="8" t="s">
        <v>322</v>
      </c>
      <c r="M22" s="8" t="str">
        <f t="shared" si="1"/>
        <v>https://schnell-s3-image.s3.ap-south-1.amazonaws.com/luminator/eaa353b0-4454-11f1-8152-430214e8bf6d.jpg</v>
      </c>
      <c r="N22" s="9" t="s">
        <v>363</v>
      </c>
      <c r="O22" s="7" t="s">
        <v>242</v>
      </c>
      <c r="P22" s="5">
        <v>13.015664900000001</v>
      </c>
      <c r="Q22" s="5">
        <v>77.597185600000003</v>
      </c>
      <c r="R22" s="5" t="s">
        <v>262</v>
      </c>
      <c r="S22" s="4">
        <v>5</v>
      </c>
      <c r="T22" s="4">
        <v>1</v>
      </c>
      <c r="U22" s="4">
        <v>0</v>
      </c>
      <c r="V22" s="4">
        <v>0</v>
      </c>
      <c r="W22" s="4">
        <v>0</v>
      </c>
      <c r="X22" s="4">
        <v>21</v>
      </c>
      <c r="Y22" s="3">
        <v>1</v>
      </c>
      <c r="Z22" s="3">
        <v>0</v>
      </c>
      <c r="AA22" s="3"/>
    </row>
    <row r="23" spans="1:27" x14ac:dyDescent="0.3">
      <c r="A23" s="9">
        <v>21</v>
      </c>
      <c r="B23" s="10">
        <v>31</v>
      </c>
      <c r="C23" s="9"/>
      <c r="D23" s="11" t="s">
        <v>145</v>
      </c>
      <c r="E23" s="11">
        <v>41940661</v>
      </c>
      <c r="F23" s="9"/>
      <c r="G23" s="8" t="str">
        <f>VLOOKUP(K23,[1]Sheet1!$B:$F,5,0)</f>
        <v>https://schnell-s3-image.s3.ap-south-1.amazonaws.com/luminator/b951a3e0-beec-11f0-9ff7-733c802724a6.jpg</v>
      </c>
      <c r="H23" s="8" t="str">
        <f t="shared" si="0"/>
        <v>https://schnell-s3-image.s3.ap-south-1.amazonaws.com/luminator/b951a3e0-beec-11f0-9ff7-733c802724a6.jpg</v>
      </c>
      <c r="I23" s="9" t="s">
        <v>202</v>
      </c>
      <c r="J23" s="9">
        <v>5</v>
      </c>
      <c r="K23" s="6" t="s">
        <v>47</v>
      </c>
      <c r="L23" s="8" t="s">
        <v>323</v>
      </c>
      <c r="M23" s="8" t="str">
        <f t="shared" si="1"/>
        <v>https://schnell-s3-image.s3.ap-south-1.amazonaws.com/luminator/15aad540-43a8-11f1-b3e7-7f0b7343c832.jpg</v>
      </c>
      <c r="N23" s="9" t="s">
        <v>363</v>
      </c>
      <c r="O23" s="7" t="s">
        <v>242</v>
      </c>
      <c r="P23" s="6">
        <v>13.0181</v>
      </c>
      <c r="Q23" s="6">
        <v>77.596885900000004</v>
      </c>
      <c r="R23" s="6" t="s">
        <v>263</v>
      </c>
      <c r="S23" s="4">
        <v>3</v>
      </c>
      <c r="T23" s="4">
        <v>11</v>
      </c>
      <c r="U23" s="4">
        <v>0</v>
      </c>
      <c r="V23" s="4">
        <v>0</v>
      </c>
      <c r="W23" s="4">
        <v>0</v>
      </c>
      <c r="X23" s="4">
        <v>6</v>
      </c>
      <c r="Y23" s="3">
        <v>2</v>
      </c>
      <c r="Z23" s="3">
        <v>0</v>
      </c>
      <c r="AA23" s="3"/>
    </row>
    <row r="24" spans="1:27" x14ac:dyDescent="0.3">
      <c r="A24" s="9">
        <v>22</v>
      </c>
      <c r="B24" s="10">
        <v>43</v>
      </c>
      <c r="C24" s="9"/>
      <c r="D24" s="11" t="s">
        <v>146</v>
      </c>
      <c r="E24" s="11">
        <v>70747280</v>
      </c>
      <c r="F24" s="9"/>
      <c r="G24" s="8" t="str">
        <f>VLOOKUP(K24,[1]Sheet1!$B:$F,5,0)</f>
        <v>https://schnell-s3-image.s3.ap-south-1.amazonaws.com/luminator/e4ea5290-bee7-11f0-9ff7-733c802724a6.jpg</v>
      </c>
      <c r="H24" s="8" t="str">
        <f t="shared" si="0"/>
        <v>https://schnell-s3-image.s3.ap-south-1.amazonaws.com/luminator/e4ea5290-bee7-11f0-9ff7-733c802724a6.jpg</v>
      </c>
      <c r="I24" s="9" t="s">
        <v>203</v>
      </c>
      <c r="J24" s="9">
        <v>46</v>
      </c>
      <c r="K24" s="5" t="s">
        <v>48</v>
      </c>
      <c r="L24" s="8" t="s">
        <v>324</v>
      </c>
      <c r="M24" s="8" t="str">
        <f t="shared" si="1"/>
        <v>https://schnell-s3-image.s3.ap-south-1.amazonaws.com/luminator/451f4ed0-43b4-11f1-9675-473992002f11.jpg</v>
      </c>
      <c r="N24" s="9" t="s">
        <v>363</v>
      </c>
      <c r="O24" s="7" t="s">
        <v>242</v>
      </c>
      <c r="P24" s="5">
        <v>13.017166899999999</v>
      </c>
      <c r="Q24" s="5">
        <v>77.595394600000006</v>
      </c>
      <c r="R24" s="5" t="s">
        <v>264</v>
      </c>
      <c r="S24" s="4">
        <v>0</v>
      </c>
      <c r="T24" s="4">
        <v>10</v>
      </c>
      <c r="U24" s="4">
        <v>0</v>
      </c>
      <c r="V24" s="4">
        <v>0</v>
      </c>
      <c r="W24" s="4">
        <v>0</v>
      </c>
      <c r="X24" s="4">
        <v>5</v>
      </c>
      <c r="Y24" s="3">
        <v>0</v>
      </c>
      <c r="Z24" s="3">
        <v>0</v>
      </c>
      <c r="AA24" s="3"/>
    </row>
    <row r="25" spans="1:27" x14ac:dyDescent="0.3">
      <c r="A25" s="9">
        <v>23</v>
      </c>
      <c r="B25" s="10" t="s">
        <v>121</v>
      </c>
      <c r="C25" s="9"/>
      <c r="D25" s="11" t="s">
        <v>147</v>
      </c>
      <c r="E25" s="11">
        <v>50415196</v>
      </c>
      <c r="F25" s="9"/>
      <c r="G25" s="8" t="str">
        <f>VLOOKUP(K25,[1]Sheet1!$B:$F,5,0)</f>
        <v>https://schnell-s3-image.s3.ap-south-1.amazonaws.com/luminator/cbebc260-bfa5-11f0-9aba-735a45fdcf81.jpg</v>
      </c>
      <c r="H25" s="8" t="str">
        <f t="shared" si="0"/>
        <v>https://schnell-s3-image.s3.ap-south-1.amazonaws.com/luminator/cbebc260-bfa5-11f0-9aba-735a45fdcf81.jpg</v>
      </c>
      <c r="I25" s="9" t="s">
        <v>204</v>
      </c>
      <c r="J25" s="9">
        <v>3</v>
      </c>
      <c r="K25" s="5" t="s">
        <v>49</v>
      </c>
      <c r="L25" s="8" t="s">
        <v>325</v>
      </c>
      <c r="M25" s="8" t="str">
        <f t="shared" si="1"/>
        <v>https://schnell-s3-image.s3.ap-south-1.amazonaws.com/luminator/82ead0b0-4452-11f1-8152-430214e8bf6d.jpg</v>
      </c>
      <c r="N25" s="9" t="s">
        <v>363</v>
      </c>
      <c r="O25" s="7" t="s">
        <v>242</v>
      </c>
      <c r="P25" s="5">
        <v>13.015664900000001</v>
      </c>
      <c r="Q25" s="5">
        <v>77.597185600000003</v>
      </c>
      <c r="R25" s="5" t="s">
        <v>265</v>
      </c>
      <c r="S25" s="4">
        <v>14</v>
      </c>
      <c r="T25" s="4">
        <v>0</v>
      </c>
      <c r="U25" s="4">
        <v>0</v>
      </c>
      <c r="V25" s="4">
        <v>0</v>
      </c>
      <c r="W25" s="4">
        <v>0</v>
      </c>
      <c r="X25" s="4">
        <v>13</v>
      </c>
      <c r="Y25" s="3">
        <v>2</v>
      </c>
      <c r="Z25" s="3">
        <v>0</v>
      </c>
      <c r="AA25" s="3"/>
    </row>
    <row r="26" spans="1:27" x14ac:dyDescent="0.3">
      <c r="A26" s="9">
        <v>24</v>
      </c>
      <c r="B26" s="10" t="s">
        <v>122</v>
      </c>
      <c r="C26" s="9"/>
      <c r="D26" s="11" t="s">
        <v>148</v>
      </c>
      <c r="E26" s="11" t="s">
        <v>103</v>
      </c>
      <c r="F26" s="9"/>
      <c r="G26" s="8" t="str">
        <f>VLOOKUP(K26,[1]Sheet1!$B:$F,5,0)</f>
        <v>https://schnell-s3-image.s3.ap-south-1.amazonaws.com/luminator/e4ea5290-bee7-11f0-9ff7-733c802724a6.jpg</v>
      </c>
      <c r="H26" s="8" t="str">
        <f t="shared" si="0"/>
        <v>https://schnell-s3-image.s3.ap-south-1.amazonaws.com/luminator/e4ea5290-bee7-11f0-9ff7-733c802724a6.jpg</v>
      </c>
      <c r="I26" s="9" t="s">
        <v>205</v>
      </c>
      <c r="J26" s="9">
        <v>5</v>
      </c>
      <c r="K26" s="5" t="s">
        <v>50</v>
      </c>
      <c r="L26" s="8" t="s">
        <v>326</v>
      </c>
      <c r="M26" s="8" t="str">
        <f t="shared" si="1"/>
        <v>https://schnell-s3-image.s3.ap-south-1.amazonaws.com/luminator/2c2b8460-43bf-11f1-9675-473992002f11.jpg</v>
      </c>
      <c r="N26" s="9" t="s">
        <v>363</v>
      </c>
      <c r="O26" s="7" t="s">
        <v>242</v>
      </c>
      <c r="P26" s="5">
        <v>13.0202367</v>
      </c>
      <c r="Q26" s="5">
        <v>77.596807999999996</v>
      </c>
      <c r="R26" s="5" t="s">
        <v>266</v>
      </c>
      <c r="S26" s="4">
        <v>16</v>
      </c>
      <c r="T26" s="4">
        <v>0</v>
      </c>
      <c r="U26" s="4">
        <v>0</v>
      </c>
      <c r="V26" s="4">
        <v>0</v>
      </c>
      <c r="W26" s="4">
        <v>0</v>
      </c>
      <c r="X26" s="4">
        <v>5</v>
      </c>
      <c r="Y26" s="3">
        <v>1</v>
      </c>
      <c r="Z26" s="3">
        <v>0</v>
      </c>
      <c r="AA26" s="3"/>
    </row>
    <row r="27" spans="1:27" x14ac:dyDescent="0.3">
      <c r="A27" s="9">
        <v>25</v>
      </c>
      <c r="B27" s="10">
        <v>190</v>
      </c>
      <c r="C27" s="9"/>
      <c r="D27" s="11" t="s">
        <v>149</v>
      </c>
      <c r="E27" s="11">
        <v>418880795</v>
      </c>
      <c r="F27" s="9"/>
      <c r="G27" s="8" t="str">
        <f>VLOOKUP(K27,[1]Sheet1!$B:$F,5,0)</f>
        <v>https://schnell-s3-image.s3.ap-south-1.amazonaws.com/luminator/db43be40-beea-11f0-9ff7-733c802724a6.jpg</v>
      </c>
      <c r="H27" s="8" t="str">
        <f t="shared" si="0"/>
        <v>https://schnell-s3-image.s3.ap-south-1.amazonaws.com/luminator/db43be40-beea-11f0-9ff7-733c802724a6.jpg</v>
      </c>
      <c r="I27" s="9" t="s">
        <v>206</v>
      </c>
      <c r="J27" s="9">
        <v>33</v>
      </c>
      <c r="K27" s="5" t="s">
        <v>51</v>
      </c>
      <c r="L27" s="8" t="s">
        <v>327</v>
      </c>
      <c r="M27" s="8" t="str">
        <f t="shared" si="1"/>
        <v>https://schnell-s3-image.s3.ap-south-1.amazonaws.com/luminator/84c02c00-4399-11f1-b3e7-7f0b7343c832.jpg</v>
      </c>
      <c r="N27" s="9" t="s">
        <v>363</v>
      </c>
      <c r="O27" s="7" t="s">
        <v>242</v>
      </c>
      <c r="P27" s="5">
        <v>13.016917899999999</v>
      </c>
      <c r="Q27" s="5">
        <v>77.596221099999994</v>
      </c>
      <c r="R27" s="5" t="s">
        <v>267</v>
      </c>
      <c r="S27" s="4">
        <v>0</v>
      </c>
      <c r="T27" s="4">
        <v>8</v>
      </c>
      <c r="U27" s="4">
        <v>0</v>
      </c>
      <c r="V27" s="4">
        <v>0</v>
      </c>
      <c r="W27" s="4">
        <v>0</v>
      </c>
      <c r="X27" s="4">
        <v>4</v>
      </c>
      <c r="Y27" s="3">
        <v>0</v>
      </c>
      <c r="Z27" s="3">
        <v>0</v>
      </c>
      <c r="AA27" s="3"/>
    </row>
    <row r="28" spans="1:27" x14ac:dyDescent="0.3">
      <c r="A28" s="9">
        <v>26</v>
      </c>
      <c r="B28" s="10">
        <v>20</v>
      </c>
      <c r="C28" s="9"/>
      <c r="D28" s="11" t="s">
        <v>150</v>
      </c>
      <c r="E28" s="11" t="s">
        <v>104</v>
      </c>
      <c r="F28" s="9"/>
      <c r="G28" s="8" t="str">
        <f>VLOOKUP(K28,[1]Sheet1!$B:$F,5,0)</f>
        <v>https://schnell-s3-image.s3.ap-south-1.amazonaws.com/luminator/d3526d30-c070-11f0-ad58-9342830ccdd3.jpg</v>
      </c>
      <c r="H28" s="8" t="str">
        <f t="shared" si="0"/>
        <v>https://schnell-s3-image.s3.ap-south-1.amazonaws.com/luminator/d3526d30-c070-11f0-ad58-9342830ccdd3.jpg</v>
      </c>
      <c r="I28" s="9" t="s">
        <v>207</v>
      </c>
      <c r="J28" s="9">
        <v>3</v>
      </c>
      <c r="K28" s="5" t="s">
        <v>52</v>
      </c>
      <c r="L28" s="8" t="s">
        <v>328</v>
      </c>
      <c r="M28" s="8" t="str">
        <f t="shared" si="1"/>
        <v>https://schnell-s3-image.s3.ap-south-1.amazonaws.com/luminator/7cb0cca0-33fd-11f1-a22c-097b296d79c4.jpg</v>
      </c>
      <c r="N28" s="9" t="s">
        <v>363</v>
      </c>
      <c r="O28" s="7" t="s">
        <v>242</v>
      </c>
      <c r="P28" s="5">
        <v>13.0184795</v>
      </c>
      <c r="Q28" s="5">
        <v>77.59111</v>
      </c>
      <c r="R28" s="5" t="s">
        <v>268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5</v>
      </c>
      <c r="Y28" s="3">
        <v>0</v>
      </c>
      <c r="Z28" s="3">
        <v>0</v>
      </c>
      <c r="AA28" s="3"/>
    </row>
    <row r="29" spans="1:27" x14ac:dyDescent="0.3">
      <c r="A29" s="9">
        <v>27</v>
      </c>
      <c r="B29" s="10" t="s">
        <v>122</v>
      </c>
      <c r="C29" s="9"/>
      <c r="D29" s="11" t="s">
        <v>151</v>
      </c>
      <c r="E29" s="11">
        <v>2923389</v>
      </c>
      <c r="F29" s="9"/>
      <c r="G29" s="8" t="str">
        <f>VLOOKUP(K29,[1]Sheet1!$B:$F,5,0)</f>
        <v>https://schnell-s3-image.s3.ap-south-1.amazonaws.com/luminator/a5cf1360-bef2-11f0-9ff7-733c802724a6.jpg</v>
      </c>
      <c r="H29" s="8" t="str">
        <f t="shared" si="0"/>
        <v>https://schnell-s3-image.s3.ap-south-1.amazonaws.com/luminator/a5cf1360-bef2-11f0-9ff7-733c802724a6.jpg</v>
      </c>
      <c r="I29" s="9" t="s">
        <v>208</v>
      </c>
      <c r="J29" s="9">
        <v>0</v>
      </c>
      <c r="K29" s="6" t="s">
        <v>53</v>
      </c>
      <c r="L29" s="8" t="s">
        <v>329</v>
      </c>
      <c r="M29" s="8" t="str">
        <f t="shared" si="1"/>
        <v>https://schnell-s3-image.s3.ap-south-1.amazonaws.com/luminator/8723d910-42ea-11f1-9300-d34e8b3cbf65.jpg</v>
      </c>
      <c r="N29" s="9" t="s">
        <v>363</v>
      </c>
      <c r="O29" s="7" t="s">
        <v>242</v>
      </c>
      <c r="P29" s="6">
        <v>13.0168745</v>
      </c>
      <c r="Q29" s="6">
        <v>77.596772099999995</v>
      </c>
      <c r="R29" s="6" t="s">
        <v>269</v>
      </c>
      <c r="S29" s="4">
        <v>9</v>
      </c>
      <c r="T29" s="4">
        <v>1</v>
      </c>
      <c r="U29" s="4">
        <v>0</v>
      </c>
      <c r="V29" s="4">
        <v>0</v>
      </c>
      <c r="W29" s="4">
        <v>0</v>
      </c>
      <c r="X29" s="4">
        <v>2</v>
      </c>
      <c r="Y29" s="3">
        <v>0</v>
      </c>
      <c r="Z29" s="3">
        <v>0</v>
      </c>
      <c r="AA29" s="3"/>
    </row>
    <row r="30" spans="1:27" x14ac:dyDescent="0.3">
      <c r="A30" s="9">
        <v>28</v>
      </c>
      <c r="B30" s="10" t="s">
        <v>123</v>
      </c>
      <c r="C30" s="9"/>
      <c r="D30" s="11" t="s">
        <v>152</v>
      </c>
      <c r="E30" s="11">
        <v>4926934</v>
      </c>
      <c r="F30" s="9"/>
      <c r="G30" s="8" t="str">
        <f>VLOOKUP(K30,[1]Sheet1!$B:$F,5,0)</f>
        <v>https://schnell-s3-image.s3.ap-south-1.amazonaws.com/luminator/d3d46f70-c065-11f0-ad58-9342830ccdd3.jpg</v>
      </c>
      <c r="H30" s="8" t="str">
        <f t="shared" si="0"/>
        <v>https://schnell-s3-image.s3.ap-south-1.amazonaws.com/luminator/d3d46f70-c065-11f0-ad58-9342830ccdd3.jpg</v>
      </c>
      <c r="I30" s="9" t="s">
        <v>209</v>
      </c>
      <c r="J30" s="9">
        <v>1</v>
      </c>
      <c r="K30" s="6" t="s">
        <v>54</v>
      </c>
      <c r="L30" s="8" t="s">
        <v>330</v>
      </c>
      <c r="M30" s="8" t="str">
        <f t="shared" si="1"/>
        <v>https://schnell-s3-image.s3.ap-south-1.amazonaws.com/luminator/2714a470-45fe-11f1-8a08-375f853baee4.jpg</v>
      </c>
      <c r="N30" s="9" t="s">
        <v>363</v>
      </c>
      <c r="O30" s="7" t="s">
        <v>242</v>
      </c>
      <c r="P30" s="5">
        <v>13.014134800000001</v>
      </c>
      <c r="Q30" s="5">
        <v>77.594283099999998</v>
      </c>
      <c r="R30" s="5" t="s">
        <v>270</v>
      </c>
      <c r="S30" s="4">
        <v>13</v>
      </c>
      <c r="T30" s="4">
        <v>10</v>
      </c>
      <c r="U30" s="4">
        <v>0</v>
      </c>
      <c r="V30" s="4">
        <v>0</v>
      </c>
      <c r="W30" s="4">
        <v>0</v>
      </c>
      <c r="X30" s="4">
        <v>4</v>
      </c>
      <c r="Y30" s="3">
        <v>3</v>
      </c>
      <c r="Z30" s="3">
        <v>0</v>
      </c>
      <c r="AA30" s="3"/>
    </row>
    <row r="31" spans="1:27" x14ac:dyDescent="0.3">
      <c r="A31" s="9">
        <v>29</v>
      </c>
      <c r="B31" s="10">
        <v>114</v>
      </c>
      <c r="C31" s="9"/>
      <c r="D31" s="11" t="s">
        <v>153</v>
      </c>
      <c r="E31" s="11" t="s">
        <v>105</v>
      </c>
      <c r="F31" s="9"/>
      <c r="G31" s="8" t="str">
        <f>VLOOKUP(K31,[1]Sheet1!$B:$F,5,0)</f>
        <v>https://schnell-s3-image.s3.ap-south-1.amazonaws.com/luminator/edb2db80-bfab-11f0-9aba-735a45fdcf81.jpg</v>
      </c>
      <c r="H31" s="8" t="str">
        <f t="shared" si="0"/>
        <v>https://schnell-s3-image.s3.ap-south-1.amazonaws.com/luminator/edb2db80-bfab-11f0-9aba-735a45fdcf81.jpg</v>
      </c>
      <c r="I31" s="9" t="s">
        <v>210</v>
      </c>
      <c r="J31" s="9">
        <v>4</v>
      </c>
      <c r="K31" s="6" t="s">
        <v>55</v>
      </c>
      <c r="L31" s="8" t="s">
        <v>331</v>
      </c>
      <c r="M31" s="8" t="str">
        <f t="shared" si="1"/>
        <v>https://schnell-s3-image.s3.ap-south-1.amazonaws.com/luminator/724e5f30-4784-11f1-8a00-edeae2d60e00.jpg</v>
      </c>
      <c r="N31" s="9" t="s">
        <v>363</v>
      </c>
      <c r="O31" s="7" t="s">
        <v>242</v>
      </c>
      <c r="P31" s="6">
        <v>13.0140054</v>
      </c>
      <c r="Q31" s="6">
        <v>77.596046099999995</v>
      </c>
      <c r="R31" s="6" t="s">
        <v>271</v>
      </c>
      <c r="S31" s="4">
        <v>11</v>
      </c>
      <c r="T31" s="4">
        <v>1</v>
      </c>
      <c r="U31" s="4">
        <v>0</v>
      </c>
      <c r="V31" s="4">
        <v>0</v>
      </c>
      <c r="W31" s="4">
        <v>0</v>
      </c>
      <c r="X31" s="4">
        <v>2</v>
      </c>
      <c r="Y31" s="3">
        <v>5</v>
      </c>
      <c r="Z31" s="3">
        <v>0</v>
      </c>
      <c r="AA31" s="3"/>
    </row>
    <row r="32" spans="1:27" x14ac:dyDescent="0.3">
      <c r="A32" s="9">
        <v>30</v>
      </c>
      <c r="B32" s="10">
        <v>11</v>
      </c>
      <c r="C32" s="9"/>
      <c r="D32" s="11" t="s">
        <v>154</v>
      </c>
      <c r="E32" s="11" t="s">
        <v>106</v>
      </c>
      <c r="F32" s="9"/>
      <c r="G32" s="8" t="str">
        <f>VLOOKUP(K32,[1]Sheet1!$B:$F,5,0)</f>
        <v>https://schnell-s3-image.s3.ap-south-1.amazonaws.com/luminator/1251e2b0-bf84-11f0-9aba-735a45fdcf81.jpg</v>
      </c>
      <c r="H32" s="8" t="str">
        <f t="shared" si="0"/>
        <v>https://schnell-s3-image.s3.ap-south-1.amazonaws.com/luminator/1251e2b0-bf84-11f0-9aba-735a45fdcf81.jpg</v>
      </c>
      <c r="I32" s="9" t="s">
        <v>211</v>
      </c>
      <c r="J32" s="9">
        <v>16</v>
      </c>
      <c r="K32" s="5" t="s">
        <v>56</v>
      </c>
      <c r="L32" s="8" t="s">
        <v>332</v>
      </c>
      <c r="M32" s="8" t="str">
        <f t="shared" si="1"/>
        <v>https://schnell-s3-image.s3.ap-south-1.amazonaws.com/luminator/7eb886e0-42cc-11f1-9300-d34e8b3cbf65.jpg</v>
      </c>
      <c r="N32" s="9" t="s">
        <v>363</v>
      </c>
      <c r="O32" s="7" t="s">
        <v>242</v>
      </c>
      <c r="P32" s="5">
        <v>13.0186324</v>
      </c>
      <c r="Q32" s="5">
        <v>77.598757399999997</v>
      </c>
      <c r="R32" s="5" t="s">
        <v>272</v>
      </c>
      <c r="S32" s="4">
        <v>22</v>
      </c>
      <c r="T32" s="4">
        <v>5</v>
      </c>
      <c r="U32" s="4">
        <v>0</v>
      </c>
      <c r="V32" s="4">
        <v>0</v>
      </c>
      <c r="W32" s="4">
        <v>0</v>
      </c>
      <c r="X32" s="4">
        <v>0</v>
      </c>
      <c r="Y32" s="3">
        <v>7</v>
      </c>
      <c r="Z32" s="3">
        <v>0</v>
      </c>
      <c r="AA32" s="3"/>
    </row>
    <row r="33" spans="1:27" x14ac:dyDescent="0.3">
      <c r="A33" s="9">
        <v>31</v>
      </c>
      <c r="B33" s="10">
        <v>97</v>
      </c>
      <c r="C33" s="9"/>
      <c r="D33" s="11" t="s">
        <v>155</v>
      </c>
      <c r="E33" s="11">
        <v>442086033</v>
      </c>
      <c r="F33" s="9"/>
      <c r="G33" s="8" t="str">
        <f>VLOOKUP(K33,[1]Sheet1!$B:$F,5,0)</f>
        <v>https://schnell-s3-image.s3.ap-south-1.amazonaws.com/luminator/f6417fe0-bf97-11f0-9aba-735a45fdcf81.jpg</v>
      </c>
      <c r="H33" s="8" t="str">
        <f t="shared" si="0"/>
        <v>https://schnell-s3-image.s3.ap-south-1.amazonaws.com/luminator/f6417fe0-bf97-11f0-9aba-735a45fdcf81.jpg</v>
      </c>
      <c r="I33" s="9" t="s">
        <v>212</v>
      </c>
      <c r="J33" s="9">
        <v>6</v>
      </c>
      <c r="K33" s="5" t="s">
        <v>57</v>
      </c>
      <c r="L33" s="8" t="s">
        <v>333</v>
      </c>
      <c r="M33" s="8" t="str">
        <f t="shared" si="1"/>
        <v>https://schnell-s3-image.s3.ap-south-1.amazonaws.com/luminator/c14aa2b0-42d4-11f1-9300-d34e8b3cbf65.jpg</v>
      </c>
      <c r="N33" s="9" t="s">
        <v>363</v>
      </c>
      <c r="O33" s="7" t="s">
        <v>242</v>
      </c>
      <c r="P33" s="5">
        <v>13.0186324</v>
      </c>
      <c r="Q33" s="5">
        <v>77.598757399999997</v>
      </c>
      <c r="R33" s="5" t="s">
        <v>273</v>
      </c>
      <c r="S33" s="4">
        <v>12</v>
      </c>
      <c r="T33" s="4">
        <v>9</v>
      </c>
      <c r="U33" s="4">
        <v>0</v>
      </c>
      <c r="V33" s="4">
        <v>0</v>
      </c>
      <c r="W33" s="4">
        <v>0</v>
      </c>
      <c r="X33" s="4">
        <v>1</v>
      </c>
      <c r="Y33" s="3">
        <v>1</v>
      </c>
      <c r="Z33" s="3">
        <v>0</v>
      </c>
      <c r="AA33" s="3"/>
    </row>
    <row r="34" spans="1:27" x14ac:dyDescent="0.3">
      <c r="A34" s="9">
        <v>32</v>
      </c>
      <c r="B34" s="10">
        <v>41</v>
      </c>
      <c r="C34" s="9"/>
      <c r="D34" s="11" t="s">
        <v>156</v>
      </c>
      <c r="E34" s="11">
        <v>2924809</v>
      </c>
      <c r="F34" s="9"/>
      <c r="G34" s="8" t="str">
        <f>VLOOKUP(K34,[1]Sheet1!$B:$F,5,0)</f>
        <v>https://schnell-s3-image.s3.ap-south-1.amazonaws.com/luminator/aee5ee00-bef3-11f0-9ff7-733c802724a6.jpg</v>
      </c>
      <c r="H34" s="8" t="str">
        <f t="shared" si="0"/>
        <v>https://schnell-s3-image.s3.ap-south-1.amazonaws.com/luminator/aee5ee00-bef3-11f0-9ff7-733c802724a6.jpg</v>
      </c>
      <c r="I34" s="9" t="s">
        <v>213</v>
      </c>
      <c r="J34" s="9">
        <v>3</v>
      </c>
      <c r="K34" s="5" t="s">
        <v>58</v>
      </c>
      <c r="L34" s="8" t="s">
        <v>334</v>
      </c>
      <c r="M34" s="8" t="str">
        <f t="shared" si="1"/>
        <v>https://schnell-s3-image.s3.ap-south-1.amazonaws.com/luminator/51148490-42e1-11f1-9300-d34e8b3cbf65.jpg</v>
      </c>
      <c r="N34" s="9" t="s">
        <v>363</v>
      </c>
      <c r="O34" s="7" t="s">
        <v>242</v>
      </c>
      <c r="P34" s="5">
        <v>13.017284099999999</v>
      </c>
      <c r="Q34" s="5">
        <v>77.598137899999998</v>
      </c>
      <c r="R34" s="5" t="s">
        <v>274</v>
      </c>
      <c r="S34" s="4">
        <v>7</v>
      </c>
      <c r="T34" s="4">
        <v>2</v>
      </c>
      <c r="U34" s="4">
        <v>2</v>
      </c>
      <c r="V34" s="4">
        <v>0</v>
      </c>
      <c r="W34" s="4">
        <v>0</v>
      </c>
      <c r="X34" s="4">
        <v>0</v>
      </c>
      <c r="Y34" s="3">
        <v>0</v>
      </c>
      <c r="Z34" s="3">
        <v>0</v>
      </c>
      <c r="AA34" s="3"/>
    </row>
    <row r="35" spans="1:27" x14ac:dyDescent="0.3">
      <c r="A35" s="9">
        <v>33</v>
      </c>
      <c r="B35" s="10">
        <v>97</v>
      </c>
      <c r="C35" s="9"/>
      <c r="D35" s="11" t="s">
        <v>157</v>
      </c>
      <c r="E35" s="11">
        <v>41946459</v>
      </c>
      <c r="F35" s="9"/>
      <c r="G35" s="8" t="str">
        <f>VLOOKUP(K35,[1]Sheet1!$B:$F,5,0)</f>
        <v>https://schnell-s3-image.s3.ap-south-1.amazonaws.com/luminator/46ce70f0-bf87-11f0-9aba-735a45fdcf81.jpg</v>
      </c>
      <c r="H35" s="8" t="str">
        <f t="shared" si="0"/>
        <v>https://schnell-s3-image.s3.ap-south-1.amazonaws.com/luminator/46ce70f0-bf87-11f0-9aba-735a45fdcf81.jpg</v>
      </c>
      <c r="I35" s="9" t="s">
        <v>214</v>
      </c>
      <c r="J35" s="9">
        <v>5</v>
      </c>
      <c r="K35" s="5" t="s">
        <v>59</v>
      </c>
      <c r="L35" s="8" t="s">
        <v>335</v>
      </c>
      <c r="M35" s="8" t="str">
        <f t="shared" si="1"/>
        <v>https://schnell-s3-image.s3.ap-south-1.amazonaws.com/luminator/ed3d4cb0-42d9-11f1-9300-d34e8b3cbf65.jpg</v>
      </c>
      <c r="N35" s="9" t="s">
        <v>363</v>
      </c>
      <c r="O35" s="7" t="s">
        <v>242</v>
      </c>
      <c r="P35" s="5">
        <v>13.020188599999999</v>
      </c>
      <c r="Q35" s="5">
        <v>77.599677799999995</v>
      </c>
      <c r="R35" s="5" t="s">
        <v>275</v>
      </c>
      <c r="S35" s="4">
        <v>12</v>
      </c>
      <c r="T35" s="4">
        <v>5</v>
      </c>
      <c r="U35" s="4">
        <v>0</v>
      </c>
      <c r="V35" s="4">
        <v>0</v>
      </c>
      <c r="W35" s="4">
        <v>0</v>
      </c>
      <c r="X35" s="4">
        <v>0</v>
      </c>
      <c r="Y35" s="3">
        <v>10</v>
      </c>
      <c r="Z35" s="3">
        <v>0</v>
      </c>
      <c r="AA35" s="3"/>
    </row>
    <row r="36" spans="1:27" x14ac:dyDescent="0.3">
      <c r="A36" s="9">
        <v>34</v>
      </c>
      <c r="B36" s="10">
        <v>24</v>
      </c>
      <c r="C36" s="9"/>
      <c r="D36" s="11" t="s">
        <v>158</v>
      </c>
      <c r="E36" s="11">
        <v>49365678</v>
      </c>
      <c r="F36" s="9"/>
      <c r="G36" s="8" t="str">
        <f>VLOOKUP(K36,[1]Sheet1!$B:$F,5,0)</f>
        <v>https://schnell-s3-image.s3.ap-south-1.amazonaws.com/luminator/31d28d70-bfba-11f0-9aba-735a45fdcf81.jpg</v>
      </c>
      <c r="H36" s="8" t="str">
        <f t="shared" si="0"/>
        <v>https://schnell-s3-image.s3.ap-south-1.amazonaws.com/luminator/31d28d70-bfba-11f0-9aba-735a45fdcf81.jpg</v>
      </c>
      <c r="I36" s="9" t="s">
        <v>215</v>
      </c>
      <c r="J36" s="9">
        <v>2</v>
      </c>
      <c r="K36" s="6" t="s">
        <v>60</v>
      </c>
      <c r="L36" s="8" t="s">
        <v>336</v>
      </c>
      <c r="M36" s="8" t="str">
        <f t="shared" si="1"/>
        <v>https://schnell-s3-image.s3.ap-south-1.amazonaws.com/luminator/c1f0d920-4787-11f1-8a00-edeae2d60e00.jpg</v>
      </c>
      <c r="N36" s="9" t="s">
        <v>363</v>
      </c>
      <c r="O36" s="7" t="s">
        <v>242</v>
      </c>
      <c r="P36" s="6">
        <v>13.0140054</v>
      </c>
      <c r="Q36" s="6">
        <v>77.596046099999995</v>
      </c>
      <c r="R36" s="6" t="s">
        <v>276</v>
      </c>
      <c r="S36" s="4">
        <v>9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3">
        <v>0</v>
      </c>
      <c r="Z36" s="3">
        <v>0</v>
      </c>
      <c r="AA36" s="3"/>
    </row>
    <row r="37" spans="1:27" x14ac:dyDescent="0.3">
      <c r="A37" s="9">
        <v>35</v>
      </c>
      <c r="B37" s="10" t="s">
        <v>124</v>
      </c>
      <c r="C37" s="9"/>
      <c r="D37" s="11" t="s">
        <v>159</v>
      </c>
      <c r="E37" s="11" t="s">
        <v>107</v>
      </c>
      <c r="F37" s="9"/>
      <c r="G37" s="8" t="str">
        <f>VLOOKUP(K37,[1]Sheet1!$B:$F,5,0)</f>
        <v>https://schnell-s3-image.s3.ap-south-1.amazonaws.com/luminator/d32b3fc0-bfb8-11f0-9aba-735a45fdcf81.jpg</v>
      </c>
      <c r="H37" s="8" t="str">
        <f t="shared" si="0"/>
        <v>https://schnell-s3-image.s3.ap-south-1.amazonaws.com/luminator/d32b3fc0-bfb8-11f0-9aba-735a45fdcf81.jpg</v>
      </c>
      <c r="I37" s="9" t="s">
        <v>216</v>
      </c>
      <c r="J37" s="9">
        <v>0</v>
      </c>
      <c r="K37" s="6" t="s">
        <v>61</v>
      </c>
      <c r="L37" s="8" t="s">
        <v>337</v>
      </c>
      <c r="M37" s="8" t="str">
        <f t="shared" si="1"/>
        <v>https://schnell-s3-image.s3.ap-south-1.amazonaws.com/luminator/af754df0-4604-11f1-8a08-375f853baee4.jpg</v>
      </c>
      <c r="N37" s="9" t="s">
        <v>363</v>
      </c>
      <c r="O37" s="7" t="s">
        <v>242</v>
      </c>
      <c r="P37" s="5">
        <v>13.014834799999999</v>
      </c>
      <c r="Q37" s="5">
        <v>77.5947125</v>
      </c>
      <c r="R37" s="5" t="s">
        <v>277</v>
      </c>
      <c r="S37" s="4">
        <v>16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3">
        <v>0</v>
      </c>
      <c r="Z37" s="3">
        <v>0</v>
      </c>
      <c r="AA37" s="3"/>
    </row>
    <row r="38" spans="1:27" x14ac:dyDescent="0.3">
      <c r="A38" s="9">
        <v>36</v>
      </c>
      <c r="B38" s="10">
        <v>20</v>
      </c>
      <c r="C38" s="9"/>
      <c r="D38" s="11" t="s">
        <v>160</v>
      </c>
      <c r="E38" s="11">
        <v>41936357</v>
      </c>
      <c r="F38" s="9"/>
      <c r="G38" s="8" t="str">
        <f>VLOOKUP(K38,[1]Sheet1!$B:$F,5,0)</f>
        <v>https://schnell-s3-image.s3.ap-south-1.amazonaws.com/luminator/25a5eb70-c076-11f0-ad58-9342830ccdd3.jpg</v>
      </c>
      <c r="H38" s="8" t="str">
        <f t="shared" si="0"/>
        <v>https://schnell-s3-image.s3.ap-south-1.amazonaws.com/luminator/25a5eb70-c076-11f0-ad58-9342830ccdd3.jpg</v>
      </c>
      <c r="I38" s="9" t="s">
        <v>217</v>
      </c>
      <c r="J38" s="9">
        <v>12</v>
      </c>
      <c r="K38" s="5" t="s">
        <v>62</v>
      </c>
      <c r="L38" s="8" t="s">
        <v>338</v>
      </c>
      <c r="M38" s="8" t="str">
        <f t="shared" si="1"/>
        <v>https://schnell-s3-image.s3.ap-south-1.amazonaws.com/luminator/81401e90-6bbd-11f1-9424-b5e8e8c92fae.jpg</v>
      </c>
      <c r="N38" s="9" t="s">
        <v>363</v>
      </c>
      <c r="O38" s="7" t="s">
        <v>242</v>
      </c>
      <c r="P38" s="5">
        <v>13.015941700000001</v>
      </c>
      <c r="Q38" s="5">
        <v>77.592815000000002</v>
      </c>
      <c r="R38" s="5" t="s">
        <v>278</v>
      </c>
      <c r="S38" s="4">
        <v>8</v>
      </c>
      <c r="T38" s="4">
        <v>0</v>
      </c>
      <c r="U38" s="4">
        <v>0</v>
      </c>
      <c r="V38" s="4">
        <v>0</v>
      </c>
      <c r="W38" s="4">
        <v>0</v>
      </c>
      <c r="X38" s="4">
        <v>10</v>
      </c>
      <c r="Y38" s="3">
        <v>0</v>
      </c>
      <c r="Z38" s="3">
        <v>0</v>
      </c>
      <c r="AA38" s="3"/>
    </row>
    <row r="39" spans="1:27" x14ac:dyDescent="0.3">
      <c r="A39" s="9">
        <v>37</v>
      </c>
      <c r="B39" s="10">
        <v>60</v>
      </c>
      <c r="C39" s="9"/>
      <c r="D39" s="11" t="s">
        <v>161</v>
      </c>
      <c r="E39" s="11" t="s">
        <v>108</v>
      </c>
      <c r="F39" s="9"/>
      <c r="G39" s="8" t="str">
        <f>VLOOKUP(K39,[1]Sheet1!$B:$F,5,0)</f>
        <v>https://schnell-s3-image.s3.ap-south-1.amazonaws.com/luminator/ab017b10-bfa7-11f0-9aba-735a45fdcf81.jpg</v>
      </c>
      <c r="H39" s="8" t="str">
        <f t="shared" si="0"/>
        <v>https://schnell-s3-image.s3.ap-south-1.amazonaws.com/luminator/ab017b10-bfa7-11f0-9aba-735a45fdcf81.jpg</v>
      </c>
      <c r="I39" s="9" t="s">
        <v>218</v>
      </c>
      <c r="J39" s="9">
        <v>6</v>
      </c>
      <c r="K39" s="5" t="s">
        <v>63</v>
      </c>
      <c r="L39" s="8" t="s">
        <v>339</v>
      </c>
      <c r="M39" s="8" t="str">
        <f t="shared" si="1"/>
        <v>https://schnell-s3-image.s3.ap-south-1.amazonaws.com/luminator/58f558a0-6e02-11f1-8320-6dccf2ac6a38.jpg</v>
      </c>
      <c r="N39" s="9" t="s">
        <v>363</v>
      </c>
      <c r="O39" s="7" t="s">
        <v>242</v>
      </c>
      <c r="P39" s="5">
        <v>13.0241015</v>
      </c>
      <c r="Q39" s="5">
        <v>77.597215300000002</v>
      </c>
      <c r="R39" s="5" t="s">
        <v>279</v>
      </c>
      <c r="S39" s="4">
        <v>9</v>
      </c>
      <c r="T39" s="4">
        <v>9</v>
      </c>
      <c r="U39" s="4">
        <v>0</v>
      </c>
      <c r="V39" s="4">
        <v>0</v>
      </c>
      <c r="W39" s="4">
        <v>0</v>
      </c>
      <c r="X39" s="4">
        <v>20</v>
      </c>
      <c r="Y39" s="3">
        <v>3</v>
      </c>
      <c r="Z39" s="3">
        <v>0</v>
      </c>
      <c r="AA39" s="3"/>
    </row>
    <row r="40" spans="1:27" x14ac:dyDescent="0.3">
      <c r="A40" s="9">
        <v>38</v>
      </c>
      <c r="B40" s="10" t="s">
        <v>122</v>
      </c>
      <c r="C40" s="9"/>
      <c r="D40" s="11" t="s">
        <v>162</v>
      </c>
      <c r="E40" s="11" t="s">
        <v>109</v>
      </c>
      <c r="F40" s="9"/>
      <c r="G40" s="8" t="str">
        <f>VLOOKUP(K40,[1]Sheet1!$B:$F,5,0)</f>
        <v>https://schnell-s3-image.s3.ap-south-1.amazonaws.com/luminator/fff9ea50-bd2a-11f0-820e-ab1682d092b5.jpg</v>
      </c>
      <c r="H40" s="8" t="str">
        <f t="shared" si="0"/>
        <v>https://schnell-s3-image.s3.ap-south-1.amazonaws.com/luminator/fff9ea50-bd2a-11f0-820e-ab1682d092b5.jpg</v>
      </c>
      <c r="I40" s="9" t="s">
        <v>219</v>
      </c>
      <c r="J40" s="9">
        <v>11</v>
      </c>
      <c r="K40" s="5" t="s">
        <v>64</v>
      </c>
      <c r="L40" s="8" t="s">
        <v>340</v>
      </c>
      <c r="M40" s="8" t="str">
        <f t="shared" si="1"/>
        <v>https://schnell-s3-image.s3.ap-south-1.amazonaws.com/luminator/0a12b2a0-6e07-11f1-8320-6dccf2ac6a38.jpg</v>
      </c>
      <c r="N40" s="9" t="s">
        <v>363</v>
      </c>
      <c r="O40" s="7" t="s">
        <v>242</v>
      </c>
      <c r="P40" s="5">
        <v>13.024887100000001</v>
      </c>
      <c r="Q40" s="5">
        <v>77.597117299999994</v>
      </c>
      <c r="R40" s="5" t="s">
        <v>280</v>
      </c>
      <c r="S40" s="4">
        <v>0</v>
      </c>
      <c r="T40" s="4">
        <v>3</v>
      </c>
      <c r="U40" s="4">
        <v>0</v>
      </c>
      <c r="V40" s="4">
        <v>0</v>
      </c>
      <c r="W40" s="4">
        <v>0</v>
      </c>
      <c r="X40" s="4">
        <v>7</v>
      </c>
      <c r="Y40" s="3">
        <v>4</v>
      </c>
      <c r="Z40" s="3">
        <v>0</v>
      </c>
      <c r="AA40" s="3"/>
    </row>
    <row r="41" spans="1:27" x14ac:dyDescent="0.3">
      <c r="A41" s="9">
        <v>39</v>
      </c>
      <c r="B41" s="10">
        <v>14</v>
      </c>
      <c r="C41" s="9"/>
      <c r="D41" s="11" t="s">
        <v>163</v>
      </c>
      <c r="E41" s="11" t="s">
        <v>110</v>
      </c>
      <c r="F41" s="9"/>
      <c r="G41" s="8" t="str">
        <f>VLOOKUP(K41,[1]Sheet1!$B:$F,5,0)</f>
        <v>https://schnell-s3-image.s3.ap-south-1.amazonaws.com/luminator/c46c26e0-fddc-11f0-91d6-f5d6c9188025.jpg</v>
      </c>
      <c r="H41" s="8" t="str">
        <f t="shared" si="0"/>
        <v>https://schnell-s3-image.s3.ap-south-1.amazonaws.com/luminator/c46c26e0-fddc-11f0-91d6-f5d6c9188025.jpg</v>
      </c>
      <c r="I41" s="9" t="s">
        <v>220</v>
      </c>
      <c r="J41" s="9">
        <v>42</v>
      </c>
      <c r="K41" s="5" t="s">
        <v>65</v>
      </c>
      <c r="L41" s="8" t="s">
        <v>341</v>
      </c>
      <c r="M41" s="8" t="str">
        <f t="shared" si="1"/>
        <v>https://schnell-s3-image.s3.ap-south-1.amazonaws.com/luminator/a6bcc000-7131-11f1-808e-cf251ff0f712.jpg</v>
      </c>
      <c r="N41" s="9" t="s">
        <v>363</v>
      </c>
      <c r="O41" s="7" t="s">
        <v>242</v>
      </c>
      <c r="P41" s="5">
        <v>13.0233723</v>
      </c>
      <c r="Q41" s="5">
        <v>77.600245099999995</v>
      </c>
      <c r="R41" s="5" t="s">
        <v>281</v>
      </c>
      <c r="S41" s="4">
        <v>4</v>
      </c>
      <c r="T41" s="4">
        <v>6</v>
      </c>
      <c r="U41" s="4">
        <v>1</v>
      </c>
      <c r="V41" s="4">
        <v>0</v>
      </c>
      <c r="W41" s="4">
        <v>0</v>
      </c>
      <c r="X41" s="4">
        <v>3</v>
      </c>
      <c r="Y41" s="3">
        <v>0</v>
      </c>
      <c r="Z41" s="3">
        <v>0</v>
      </c>
      <c r="AA41" s="3"/>
    </row>
    <row r="42" spans="1:27" x14ac:dyDescent="0.3">
      <c r="A42" s="9">
        <v>40</v>
      </c>
      <c r="B42" s="10">
        <v>4</v>
      </c>
      <c r="C42" s="9"/>
      <c r="D42" s="11">
        <v>139</v>
      </c>
      <c r="E42" s="11" t="s">
        <v>111</v>
      </c>
      <c r="F42" s="9"/>
      <c r="G42" s="8" t="str">
        <f>VLOOKUP(K42,[1]Sheet1!$B:$F,5,0)</f>
        <v>https://schnell-s3-image.s3.ap-south-1.amazonaws.com/luminator/629e8060-c129-11f0-9e2f-f34807d87a5d.jpg</v>
      </c>
      <c r="H42" s="8" t="str">
        <f t="shared" si="0"/>
        <v>https://schnell-s3-image.s3.ap-south-1.amazonaws.com/luminator/629e8060-c129-11f0-9e2f-f34807d87a5d.jpg</v>
      </c>
      <c r="I42" s="9" t="s">
        <v>221</v>
      </c>
      <c r="J42" s="9">
        <v>11</v>
      </c>
      <c r="K42" s="5" t="s">
        <v>66</v>
      </c>
      <c r="L42" s="8" t="s">
        <v>342</v>
      </c>
      <c r="M42" s="8" t="str">
        <f t="shared" si="1"/>
        <v>https://schnell-s3-image.s3.ap-south-1.amazonaws.com/luminator/f0378040-6ed3-11f1-9a5f-eba72cbbc463.jpg</v>
      </c>
      <c r="N42" s="9" t="s">
        <v>363</v>
      </c>
      <c r="O42" s="7" t="s">
        <v>242</v>
      </c>
      <c r="P42" s="5">
        <v>13.008644200000001</v>
      </c>
      <c r="Q42" s="5">
        <v>77.592999199999994</v>
      </c>
      <c r="R42" s="5" t="s">
        <v>282</v>
      </c>
      <c r="S42" s="4">
        <v>18</v>
      </c>
      <c r="T42" s="4">
        <v>1</v>
      </c>
      <c r="U42" s="4">
        <v>0</v>
      </c>
      <c r="V42" s="4">
        <v>0</v>
      </c>
      <c r="W42" s="4">
        <v>0</v>
      </c>
      <c r="X42" s="4">
        <v>9</v>
      </c>
      <c r="Y42" s="3">
        <v>3</v>
      </c>
      <c r="Z42" s="3">
        <v>0</v>
      </c>
      <c r="AA42" s="3"/>
    </row>
    <row r="43" spans="1:27" x14ac:dyDescent="0.3">
      <c r="A43" s="9">
        <v>41</v>
      </c>
      <c r="B43" s="10">
        <v>95</v>
      </c>
      <c r="C43" s="9"/>
      <c r="D43" s="11" t="s">
        <v>164</v>
      </c>
      <c r="E43" s="11" t="s">
        <v>112</v>
      </c>
      <c r="F43" s="9"/>
      <c r="G43" s="8" t="str">
        <f>VLOOKUP(K43,[1]Sheet1!$B:$F,5,0)</f>
        <v>https://schnell-s3-image.s3.ap-south-1.amazonaws.com/luminator/55c26d10-bf8b-11f0-9aba-735a45fdcf81.jpg</v>
      </c>
      <c r="H43" s="8" t="str">
        <f t="shared" si="0"/>
        <v>https://schnell-s3-image.s3.ap-south-1.amazonaws.com/luminator/55c26d10-bf8b-11f0-9aba-735a45fdcf81.jpg</v>
      </c>
      <c r="I43" s="9" t="s">
        <v>222</v>
      </c>
      <c r="J43" s="9">
        <v>23</v>
      </c>
      <c r="K43" s="5" t="s">
        <v>67</v>
      </c>
      <c r="L43" s="8" t="s">
        <v>343</v>
      </c>
      <c r="M43" s="8" t="str">
        <f t="shared" si="1"/>
        <v>https://schnell-s3-image.s3.ap-south-1.amazonaws.com/luminator/4c202c80-6ebc-11f1-9a5f-eba72cbbc463.jpg</v>
      </c>
      <c r="N43" s="9" t="s">
        <v>363</v>
      </c>
      <c r="O43" s="7" t="s">
        <v>242</v>
      </c>
      <c r="P43" s="5">
        <v>13.021277899999999</v>
      </c>
      <c r="Q43" s="5">
        <v>77.600368200000005</v>
      </c>
      <c r="R43" s="5" t="s">
        <v>283</v>
      </c>
      <c r="S43" s="4">
        <v>4</v>
      </c>
      <c r="T43" s="4">
        <v>2</v>
      </c>
      <c r="U43" s="4">
        <v>4</v>
      </c>
      <c r="V43" s="4">
        <v>0</v>
      </c>
      <c r="W43" s="4">
        <v>0</v>
      </c>
      <c r="X43" s="4">
        <v>7</v>
      </c>
      <c r="Y43" s="3">
        <v>11</v>
      </c>
      <c r="Z43" s="3">
        <v>0</v>
      </c>
      <c r="AA43" s="3"/>
    </row>
    <row r="44" spans="1:27" x14ac:dyDescent="0.3">
      <c r="A44" s="9">
        <v>42</v>
      </c>
      <c r="B44" s="10">
        <v>66</v>
      </c>
      <c r="C44" s="9"/>
      <c r="D44" s="11" t="s">
        <v>122</v>
      </c>
      <c r="E44" s="11">
        <v>41936351</v>
      </c>
      <c r="F44" s="9"/>
      <c r="G44" s="8" t="str">
        <f>VLOOKUP(K44,[1]Sheet1!$B:$F,5,0)</f>
        <v>https://schnell-s3-image.s3.ap-south-1.amazonaws.com/luminator/6f02ca90-c125-11f0-8cbb-d54d266144bc.jpg</v>
      </c>
      <c r="H44" s="8" t="str">
        <f t="shared" si="0"/>
        <v>https://schnell-s3-image.s3.ap-south-1.amazonaws.com/luminator/6f02ca90-c125-11f0-8cbb-d54d266144bc.jpg</v>
      </c>
      <c r="I44" s="9" t="s">
        <v>223</v>
      </c>
      <c r="J44" s="9">
        <v>18</v>
      </c>
      <c r="K44" s="5" t="s">
        <v>68</v>
      </c>
      <c r="L44" s="8" t="s">
        <v>344</v>
      </c>
      <c r="M44" s="8" t="str">
        <f t="shared" si="1"/>
        <v>https://schnell-s3-image.s3.ap-south-1.amazonaws.com/luminator/d8f8f3d0-6ec6-11f1-9a5f-eba72cbbc463.jpg</v>
      </c>
      <c r="N44" s="9" t="s">
        <v>363</v>
      </c>
      <c r="O44" s="7" t="s">
        <v>242</v>
      </c>
      <c r="P44" s="5">
        <v>13.009525699999999</v>
      </c>
      <c r="Q44" s="5">
        <v>77.593392300000005</v>
      </c>
      <c r="R44" s="5" t="s">
        <v>284</v>
      </c>
      <c r="S44" s="4">
        <v>15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3">
        <v>0</v>
      </c>
      <c r="Z44" s="3">
        <v>0</v>
      </c>
      <c r="AA44" s="3"/>
    </row>
    <row r="45" spans="1:27" x14ac:dyDescent="0.3">
      <c r="A45" s="9">
        <v>43</v>
      </c>
      <c r="B45" s="10">
        <v>14</v>
      </c>
      <c r="C45" s="9"/>
      <c r="D45" s="11" t="s">
        <v>165</v>
      </c>
      <c r="E45" s="11" t="s">
        <v>113</v>
      </c>
      <c r="F45" s="9"/>
      <c r="G45" s="8" t="str">
        <f>VLOOKUP(K45,[1]Sheet1!$B:$F,5,0)</f>
        <v>https://schnell-s3-image.s3.ap-south-1.amazonaws.com/luminator/eb1fa3d0-c127-11f0-9e2f-f34807d87a5d.jpg</v>
      </c>
      <c r="H45" s="8" t="str">
        <f t="shared" si="0"/>
        <v>https://schnell-s3-image.s3.ap-south-1.amazonaws.com/luminator/eb1fa3d0-c127-11f0-9e2f-f34807d87a5d.jpg</v>
      </c>
      <c r="I45" s="9" t="s">
        <v>224</v>
      </c>
      <c r="J45" s="9">
        <v>33</v>
      </c>
      <c r="K45" s="5" t="s">
        <v>69</v>
      </c>
      <c r="L45" s="8" t="s">
        <v>345</v>
      </c>
      <c r="M45" s="8" t="str">
        <f t="shared" si="1"/>
        <v>https://schnell-s3-image.s3.ap-south-1.amazonaws.com/luminator/718ed030-6eca-11f1-9a5f-eba72cbbc463.jpg</v>
      </c>
      <c r="N45" s="9" t="s">
        <v>363</v>
      </c>
      <c r="O45" s="7" t="s">
        <v>242</v>
      </c>
      <c r="P45" s="5">
        <v>13.0088562</v>
      </c>
      <c r="Q45" s="5">
        <v>77.5931602</v>
      </c>
      <c r="R45" s="5" t="s">
        <v>285</v>
      </c>
      <c r="S45" s="4">
        <v>21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3">
        <v>3</v>
      </c>
      <c r="Z45" s="3">
        <v>0</v>
      </c>
      <c r="AA45" s="3"/>
    </row>
    <row r="46" spans="1:27" x14ac:dyDescent="0.3">
      <c r="A46" s="9">
        <v>44</v>
      </c>
      <c r="B46" s="10">
        <v>716</v>
      </c>
      <c r="C46" s="9"/>
      <c r="D46" s="11" t="s">
        <v>166</v>
      </c>
      <c r="E46" s="11">
        <v>42576315</v>
      </c>
      <c r="F46" s="9"/>
      <c r="G46" s="8" t="str">
        <f>VLOOKUP(K46,[1]Sheet1!$B:$F,5,0)</f>
        <v>https://schnell-s3-image.s3.ap-south-1.amazonaws.com/luminator/2d5216a0-c134-11f0-9e2f-f34807d87a5d.jpg</v>
      </c>
      <c r="H46" s="8" t="str">
        <f t="shared" si="0"/>
        <v>https://schnell-s3-image.s3.ap-south-1.amazonaws.com/luminator/2d5216a0-c134-11f0-9e2f-f34807d87a5d.jpg</v>
      </c>
      <c r="I46" s="9" t="s">
        <v>225</v>
      </c>
      <c r="J46" s="9">
        <v>15</v>
      </c>
      <c r="K46" s="5" t="s">
        <v>70</v>
      </c>
      <c r="L46" s="8" t="s">
        <v>346</v>
      </c>
      <c r="M46" s="8" t="str">
        <f t="shared" si="1"/>
        <v>https://schnell-s3-image.s3.ap-south-1.amazonaws.com/luminator/94d5b510-6edc-11f1-9a5f-eba72cbbc463.jpg</v>
      </c>
      <c r="N46" s="9" t="s">
        <v>363</v>
      </c>
      <c r="O46" s="7" t="s">
        <v>242</v>
      </c>
      <c r="P46" s="5">
        <v>13.0077435</v>
      </c>
      <c r="Q46" s="5">
        <v>77.5924397</v>
      </c>
      <c r="R46" s="5" t="s">
        <v>286</v>
      </c>
      <c r="S46" s="4">
        <v>7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3">
        <v>1</v>
      </c>
      <c r="Z46" s="3">
        <v>0</v>
      </c>
      <c r="AA46" s="3"/>
    </row>
    <row r="47" spans="1:27" x14ac:dyDescent="0.3">
      <c r="A47" s="9">
        <v>45</v>
      </c>
      <c r="B47" s="10">
        <v>96</v>
      </c>
      <c r="C47" s="9"/>
      <c r="D47" s="11" t="s">
        <v>167</v>
      </c>
      <c r="E47" s="11">
        <v>41985640</v>
      </c>
      <c r="F47" s="9"/>
      <c r="G47" s="8" t="str">
        <f>VLOOKUP(K47,[1]Sheet1!$B:$F,5,0)</f>
        <v>https://schnell-s3-image.s3.ap-south-1.amazonaws.com/luminator/a51240c0-c11b-11f0-8cbb-d54d266144bc.jpg</v>
      </c>
      <c r="H47" s="8" t="str">
        <f t="shared" si="0"/>
        <v>https://schnell-s3-image.s3.ap-south-1.amazonaws.com/luminator/a51240c0-c11b-11f0-8cbb-d54d266144bc.jpg</v>
      </c>
      <c r="I47" s="9" t="s">
        <v>226</v>
      </c>
      <c r="J47" s="9">
        <v>11</v>
      </c>
      <c r="K47" s="5" t="s">
        <v>71</v>
      </c>
      <c r="L47" s="8" t="s">
        <v>347</v>
      </c>
      <c r="M47" s="8" t="str">
        <f t="shared" si="1"/>
        <v>https://schnell-s3-image.s3.ap-south-1.amazonaws.com/luminator/78ef5470-7d12-11f1-a0d5-a75f61b964e6.jpg</v>
      </c>
      <c r="N47" s="9" t="s">
        <v>363</v>
      </c>
      <c r="O47" s="7" t="s">
        <v>242</v>
      </c>
      <c r="P47" s="5">
        <v>13.0125961</v>
      </c>
      <c r="Q47" s="5">
        <v>77.5936193</v>
      </c>
      <c r="R47" s="5" t="s">
        <v>287</v>
      </c>
      <c r="S47" s="4">
        <v>0</v>
      </c>
      <c r="T47" s="4">
        <v>0</v>
      </c>
      <c r="U47" s="4">
        <v>6</v>
      </c>
      <c r="V47" s="4">
        <v>0</v>
      </c>
      <c r="W47" s="4">
        <v>0</v>
      </c>
      <c r="X47" s="4">
        <v>0</v>
      </c>
      <c r="Y47" s="3">
        <v>3</v>
      </c>
      <c r="Z47" s="3">
        <v>0</v>
      </c>
      <c r="AA47" s="3"/>
    </row>
    <row r="48" spans="1:27" x14ac:dyDescent="0.3">
      <c r="A48" s="9">
        <v>46</v>
      </c>
      <c r="B48" s="10" t="s">
        <v>122</v>
      </c>
      <c r="C48" s="9"/>
      <c r="D48" s="11" t="s">
        <v>168</v>
      </c>
      <c r="E48" s="11">
        <v>2923538</v>
      </c>
      <c r="F48" s="9"/>
      <c r="G48" s="8" t="str">
        <f>VLOOKUP(K48,[1]Sheet1!$B:$F,5,0)</f>
        <v>https://schnell-s3-image.s3.ap-south-1.amazonaws.com/luminator/db43be40-beea-11f0-9ff7-733c802724a6.jpg</v>
      </c>
      <c r="H48" s="8" t="str">
        <f t="shared" si="0"/>
        <v>https://schnell-s3-image.s3.ap-south-1.amazonaws.com/luminator/db43be40-beea-11f0-9ff7-733c802724a6.jpg</v>
      </c>
      <c r="I48" s="9" t="s">
        <v>227</v>
      </c>
      <c r="J48" s="9">
        <v>17</v>
      </c>
      <c r="K48" s="5" t="s">
        <v>72</v>
      </c>
      <c r="L48" s="8" t="s">
        <v>348</v>
      </c>
      <c r="M48" s="8" t="str">
        <f t="shared" si="1"/>
        <v>https://schnell-s3-image.s3.ap-south-1.amazonaws.com/luminator/03e2f820-7d09-11f1-be62-d961aa40fb1d.jpg</v>
      </c>
      <c r="N48" s="9" t="s">
        <v>363</v>
      </c>
      <c r="O48" s="7" t="s">
        <v>242</v>
      </c>
      <c r="P48" s="5">
        <v>13.016408</v>
      </c>
      <c r="Q48" s="5">
        <v>77.5960915</v>
      </c>
      <c r="R48" s="5" t="s">
        <v>288</v>
      </c>
      <c r="S48" s="4">
        <v>5</v>
      </c>
      <c r="T48" s="4">
        <v>3</v>
      </c>
      <c r="U48" s="4">
        <v>0</v>
      </c>
      <c r="V48" s="4">
        <v>0</v>
      </c>
      <c r="W48" s="4">
        <v>0</v>
      </c>
      <c r="X48" s="4">
        <v>0</v>
      </c>
      <c r="Y48" s="3">
        <v>0</v>
      </c>
      <c r="Z48" s="3">
        <v>0</v>
      </c>
      <c r="AA48" s="3"/>
    </row>
    <row r="49" spans="1:27" x14ac:dyDescent="0.3">
      <c r="A49" s="9">
        <v>47</v>
      </c>
      <c r="B49" s="10">
        <v>43</v>
      </c>
      <c r="C49" s="9"/>
      <c r="D49" s="11" t="s">
        <v>169</v>
      </c>
      <c r="E49" s="11" t="s">
        <v>114</v>
      </c>
      <c r="F49" s="9"/>
      <c r="G49" s="8" t="str">
        <f>VLOOKUP(K49,[1]Sheet1!$B:$F,5,0)</f>
        <v>https://schnell-s3-image.s3.ap-south-1.amazonaws.com/luminator/57d2a800-c052-11f0-ad58-9342830ccdd3.jpg</v>
      </c>
      <c r="H49" s="8" t="str">
        <f t="shared" si="0"/>
        <v>https://schnell-s3-image.s3.ap-south-1.amazonaws.com/luminator/57d2a800-c052-11f0-ad58-9342830ccdd3.jpg</v>
      </c>
      <c r="I49" s="9" t="s">
        <v>228</v>
      </c>
      <c r="J49" s="9">
        <v>13</v>
      </c>
      <c r="K49" s="5" t="s">
        <v>73</v>
      </c>
      <c r="L49" s="8" t="s">
        <v>349</v>
      </c>
      <c r="M49" s="8" t="str">
        <f t="shared" si="1"/>
        <v>https://schnell-s3-image.s3.ap-south-1.amazonaws.com/luminator/0ad504b0-7d0f-11f1-b054-5f4f1e6921fc.jpg</v>
      </c>
      <c r="N49" s="9" t="s">
        <v>363</v>
      </c>
      <c r="O49" s="7" t="s">
        <v>242</v>
      </c>
      <c r="P49" s="5">
        <v>13.0162681</v>
      </c>
      <c r="Q49" s="5">
        <v>77.595332900000002</v>
      </c>
      <c r="R49" s="5" t="s">
        <v>289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10</v>
      </c>
      <c r="Y49" s="3">
        <v>5</v>
      </c>
      <c r="Z49" s="3">
        <v>0</v>
      </c>
      <c r="AA49" s="3"/>
    </row>
    <row r="50" spans="1:27" x14ac:dyDescent="0.3">
      <c r="A50" s="9">
        <v>48</v>
      </c>
      <c r="B50" s="10">
        <v>54</v>
      </c>
      <c r="C50" s="9"/>
      <c r="D50" s="11" t="s">
        <v>170</v>
      </c>
      <c r="E50" s="11">
        <v>442068929</v>
      </c>
      <c r="F50" s="9"/>
      <c r="G50" s="8" t="str">
        <f>VLOOKUP(K50,[1]Sheet1!$B:$F,5,0)</f>
        <v>https://schnell-s3-image.s3.ap-south-1.amazonaws.com/luminator/8df7e4d0-bfb3-11f0-9aba-735a45fdcf81.jpg</v>
      </c>
      <c r="H50" s="8" t="str">
        <f t="shared" si="0"/>
        <v>https://schnell-s3-image.s3.ap-south-1.amazonaws.com/luminator/8df7e4d0-bfb3-11f0-9aba-735a45fdcf81.jpg</v>
      </c>
      <c r="I50" s="9" t="s">
        <v>229</v>
      </c>
      <c r="J50" s="9">
        <v>6</v>
      </c>
      <c r="K50" s="5" t="s">
        <v>74</v>
      </c>
      <c r="L50" s="8" t="s">
        <v>350</v>
      </c>
      <c r="M50" s="8" t="str">
        <f t="shared" si="1"/>
        <v>https://schnell-s3-image.s3.ap-south-1.amazonaws.com/luminator/aade7cb0-7cf7-11f1-b842-8bb2df6345af.jpg</v>
      </c>
      <c r="N50" s="9" t="s">
        <v>363</v>
      </c>
      <c r="O50" s="7" t="s">
        <v>242</v>
      </c>
      <c r="P50" s="5">
        <v>13.0129552</v>
      </c>
      <c r="Q50" s="5">
        <v>77.5957145</v>
      </c>
      <c r="R50" s="5" t="s">
        <v>290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15</v>
      </c>
      <c r="Y50" s="3">
        <v>5</v>
      </c>
      <c r="Z50" s="3">
        <v>0</v>
      </c>
      <c r="AA50" s="3"/>
    </row>
    <row r="51" spans="1:27" x14ac:dyDescent="0.3">
      <c r="A51" s="9">
        <v>49</v>
      </c>
      <c r="B51" s="10">
        <v>279</v>
      </c>
      <c r="C51" s="9"/>
      <c r="D51" s="11" t="s">
        <v>171</v>
      </c>
      <c r="E51" s="11">
        <v>70750</v>
      </c>
      <c r="F51" s="9"/>
      <c r="G51" s="8" t="str">
        <f>VLOOKUP(K51,[1]Sheet1!$B:$F,5,0)</f>
        <v>https://schnell-s3-image.s3.ap-south-1.amazonaws.com/luminator/4a47d910-bfaf-11f0-9aba-735a45fdcf81.jpg</v>
      </c>
      <c r="H51" s="8" t="str">
        <f t="shared" si="0"/>
        <v>https://schnell-s3-image.s3.ap-south-1.amazonaws.com/luminator/4a47d910-bfaf-11f0-9aba-735a45fdcf81.jpg</v>
      </c>
      <c r="I51" s="9" t="s">
        <v>230</v>
      </c>
      <c r="J51" s="9">
        <v>21</v>
      </c>
      <c r="K51" s="5" t="s">
        <v>75</v>
      </c>
      <c r="L51" s="8" t="s">
        <v>351</v>
      </c>
      <c r="M51" s="8" t="str">
        <f t="shared" si="1"/>
        <v>https://schnell-s3-image.s3.ap-south-1.amazonaws.com/luminator/ffc99290-7cf8-11f1-9c7d-492fd4cd8fcb.jpg</v>
      </c>
      <c r="N51" s="9" t="s">
        <v>363</v>
      </c>
      <c r="O51" s="7" t="s">
        <v>242</v>
      </c>
      <c r="P51" s="5">
        <v>13.013892800000001</v>
      </c>
      <c r="Q51" s="5">
        <v>77.596586700000003</v>
      </c>
      <c r="R51" s="5" t="s">
        <v>291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9</v>
      </c>
      <c r="Y51" s="3">
        <v>0</v>
      </c>
      <c r="Z51" s="3">
        <v>0</v>
      </c>
      <c r="AA51" s="3"/>
    </row>
    <row r="52" spans="1:27" x14ac:dyDescent="0.3">
      <c r="A52" s="9">
        <v>50</v>
      </c>
      <c r="B52" s="10">
        <v>42</v>
      </c>
      <c r="C52" s="9"/>
      <c r="D52" s="11" t="s">
        <v>122</v>
      </c>
      <c r="E52" s="11">
        <v>41987951</v>
      </c>
      <c r="F52" s="9"/>
      <c r="G52" s="8" t="str">
        <f>VLOOKUP(K52,[1]Sheet1!$B:$F,5,0)</f>
        <v>https://schnell-s3-image.s3.ap-south-1.amazonaws.com/luminator/d32b3fc0-bfb8-11f0-9aba-735a45fdcf81.jpg</v>
      </c>
      <c r="H52" s="8" t="str">
        <f t="shared" si="0"/>
        <v>https://schnell-s3-image.s3.ap-south-1.amazonaws.com/luminator/d32b3fc0-bfb8-11f0-9aba-735a45fdcf81.jpg</v>
      </c>
      <c r="I52" s="9" t="s">
        <v>231</v>
      </c>
      <c r="J52" s="9">
        <v>14</v>
      </c>
      <c r="K52" s="5" t="s">
        <v>76</v>
      </c>
      <c r="L52" s="8" t="s">
        <v>352</v>
      </c>
      <c r="M52" s="8" t="str">
        <f t="shared" si="1"/>
        <v>https://schnell-s3-image.s3.ap-south-1.amazonaws.com/luminator/5901b410-7cfd-11f1-8ee8-43130da4cd76.jpg</v>
      </c>
      <c r="N52" s="9" t="s">
        <v>363</v>
      </c>
      <c r="O52" s="7" t="s">
        <v>242</v>
      </c>
      <c r="P52" s="5">
        <v>13.0134752</v>
      </c>
      <c r="Q52" s="5">
        <v>77.594326300000006</v>
      </c>
      <c r="R52" s="5" t="s">
        <v>292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11</v>
      </c>
      <c r="Y52" s="3">
        <v>2</v>
      </c>
      <c r="Z52" s="3">
        <v>0</v>
      </c>
      <c r="AA52" s="3"/>
    </row>
    <row r="53" spans="1:27" x14ac:dyDescent="0.3">
      <c r="A53" s="9">
        <v>51</v>
      </c>
      <c r="B53" s="10">
        <v>24</v>
      </c>
      <c r="C53" s="9"/>
      <c r="D53" s="11" t="s">
        <v>172</v>
      </c>
      <c r="E53" s="11" t="s">
        <v>115</v>
      </c>
      <c r="F53" s="9"/>
      <c r="G53" s="8" t="str">
        <f>VLOOKUP(K53,[1]Sheet1!$B:$F,5,0)</f>
        <v>https://schnell-s3-image.s3.ap-south-1.amazonaws.com/luminator/f461dcf0-bc82-11f0-b835-491e4cc27c0e.jpg</v>
      </c>
      <c r="H53" s="8" t="str">
        <f t="shared" si="0"/>
        <v>https://schnell-s3-image.s3.ap-south-1.amazonaws.com/luminator/f461dcf0-bc82-11f0-b835-491e4cc27c0e.jpg</v>
      </c>
      <c r="I53" s="9" t="s">
        <v>232</v>
      </c>
      <c r="J53" s="9">
        <v>12</v>
      </c>
      <c r="K53" s="5" t="s">
        <v>77</v>
      </c>
      <c r="L53" s="8" t="s">
        <v>353</v>
      </c>
      <c r="M53" s="8" t="str">
        <f t="shared" si="1"/>
        <v>https://schnell-s3-image.s3.ap-south-1.amazonaws.com/luminator/877011c0-9161-11f1-a95f-a9edf1c2c6d5.jpg</v>
      </c>
      <c r="N53" s="9" t="s">
        <v>363</v>
      </c>
      <c r="O53" s="7" t="s">
        <v>242</v>
      </c>
      <c r="P53" s="5">
        <v>13.0237842</v>
      </c>
      <c r="Q53" s="5">
        <v>77.599512599999997</v>
      </c>
      <c r="R53" s="5" t="s">
        <v>293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6</v>
      </c>
      <c r="Y53" s="3">
        <v>1</v>
      </c>
      <c r="Z53" s="3">
        <v>0</v>
      </c>
      <c r="AA53" s="3"/>
    </row>
    <row r="54" spans="1:27" x14ac:dyDescent="0.3">
      <c r="A54" s="9">
        <v>52</v>
      </c>
      <c r="B54" s="10" t="s">
        <v>122</v>
      </c>
      <c r="C54" s="9"/>
      <c r="D54" s="11" t="s">
        <v>173</v>
      </c>
      <c r="E54" s="11" t="s">
        <v>116</v>
      </c>
      <c r="F54" s="9"/>
      <c r="G54" s="8" t="str">
        <f>VLOOKUP(K54,[1]Sheet1!$B:$F,5,0)</f>
        <v>https://schnell-s3-image.s3.ap-south-1.amazonaws.com/luminator/89baff80-bee4-11f0-9ff7-733c802724a6.jpg</v>
      </c>
      <c r="H54" s="8" t="str">
        <f t="shared" si="0"/>
        <v>https://schnell-s3-image.s3.ap-south-1.amazonaws.com/luminator/89baff80-bee4-11f0-9ff7-733c802724a6.jpg</v>
      </c>
      <c r="I54" s="9" t="s">
        <v>233</v>
      </c>
      <c r="J54" s="9">
        <v>12</v>
      </c>
      <c r="K54" s="5" t="s">
        <v>78</v>
      </c>
      <c r="L54" s="8" t="s">
        <v>354</v>
      </c>
      <c r="M54" s="8" t="str">
        <f t="shared" si="1"/>
        <v>https://schnell-s3-image.s3.ap-south-1.amazonaws.com/luminator/4fdfa510-9164-11f1-a490-a116bd410d6c.jpg</v>
      </c>
      <c r="N54" s="9" t="s">
        <v>363</v>
      </c>
      <c r="O54" s="7" t="s">
        <v>242</v>
      </c>
      <c r="P54" s="5">
        <v>13.0255641</v>
      </c>
      <c r="Q54" s="5">
        <v>77.599901299999999</v>
      </c>
      <c r="R54" s="5" t="s">
        <v>294</v>
      </c>
      <c r="S54" s="4">
        <v>0</v>
      </c>
      <c r="T54" s="4">
        <v>0</v>
      </c>
      <c r="U54" s="4">
        <v>7</v>
      </c>
      <c r="V54" s="4">
        <v>0</v>
      </c>
      <c r="W54" s="4">
        <v>0</v>
      </c>
      <c r="X54" s="4">
        <v>8</v>
      </c>
      <c r="Y54" s="3">
        <v>0</v>
      </c>
      <c r="Z54" s="3">
        <v>0</v>
      </c>
      <c r="AA54" s="3"/>
    </row>
    <row r="55" spans="1:27" x14ac:dyDescent="0.3">
      <c r="A55" s="9">
        <v>53</v>
      </c>
      <c r="B55" s="10" t="s">
        <v>122</v>
      </c>
      <c r="C55" s="9"/>
      <c r="D55" s="11" t="s">
        <v>174</v>
      </c>
      <c r="E55" s="11" t="s">
        <v>117</v>
      </c>
      <c r="F55" s="9"/>
      <c r="G55" s="8" t="str">
        <f>VLOOKUP(K55,[1]Sheet1!$B:$F,5,0)</f>
        <v>https://schnell-s3-image.s3.ap-south-1.amazonaws.com/luminator/8594cde0-bec2-11f0-8aeb-3f8553bef229.jpg</v>
      </c>
      <c r="H55" s="8" t="str">
        <f t="shared" si="0"/>
        <v>https://schnell-s3-image.s3.ap-south-1.amazonaws.com/luminator/8594cde0-bec2-11f0-8aeb-3f8553bef229.jpg</v>
      </c>
      <c r="I55" s="9" t="s">
        <v>234</v>
      </c>
      <c r="J55" s="9">
        <v>21</v>
      </c>
      <c r="K55" s="5" t="s">
        <v>79</v>
      </c>
      <c r="L55" s="8" t="s">
        <v>355</v>
      </c>
      <c r="M55" s="8" t="str">
        <f t="shared" si="1"/>
        <v>https://schnell-s3-image.s3.ap-south-1.amazonaws.com/luminator/85cbd370-9168-11f1-a490-a116bd410d6c.jpg</v>
      </c>
      <c r="N55" s="9" t="s">
        <v>363</v>
      </c>
      <c r="O55" s="7" t="s">
        <v>242</v>
      </c>
      <c r="P55" s="5">
        <v>13.025464100000001</v>
      </c>
      <c r="Q55" s="5">
        <v>77.598595700000004</v>
      </c>
      <c r="R55" s="5" t="s">
        <v>295</v>
      </c>
      <c r="S55" s="4">
        <v>6</v>
      </c>
      <c r="T55" s="4">
        <v>0</v>
      </c>
      <c r="U55" s="4">
        <v>0</v>
      </c>
      <c r="V55" s="4">
        <v>0</v>
      </c>
      <c r="W55" s="4">
        <v>0</v>
      </c>
      <c r="X55" s="4">
        <v>4</v>
      </c>
      <c r="Y55" s="3">
        <v>0</v>
      </c>
      <c r="Z55" s="3">
        <v>0</v>
      </c>
      <c r="AA55" s="3"/>
    </row>
    <row r="56" spans="1:27" x14ac:dyDescent="0.3">
      <c r="A56" s="9">
        <v>54</v>
      </c>
      <c r="B56" s="10">
        <v>22</v>
      </c>
      <c r="C56" s="9"/>
      <c r="D56" s="11" t="s">
        <v>175</v>
      </c>
      <c r="E56" s="11">
        <v>50415192</v>
      </c>
      <c r="F56" s="9"/>
      <c r="G56" s="8" t="str">
        <f>VLOOKUP(K56,[1]Sheet1!$B:$F,5,0)</f>
        <v>https://schnell-s3-image.s3.ap-south-1.amazonaws.com/luminator/91d5fcb0-bedf-11f0-9ff7-733c802724a6.jpg</v>
      </c>
      <c r="H56" s="8" t="str">
        <f t="shared" si="0"/>
        <v>https://schnell-s3-image.s3.ap-south-1.amazonaws.com/luminator/91d5fcb0-bedf-11f0-9ff7-733c802724a6.jpg</v>
      </c>
      <c r="I56" s="9" t="s">
        <v>235</v>
      </c>
      <c r="J56" s="9">
        <v>13</v>
      </c>
      <c r="K56" s="5" t="s">
        <v>80</v>
      </c>
      <c r="L56" s="8" t="s">
        <v>356</v>
      </c>
      <c r="M56" s="8" t="str">
        <f t="shared" si="1"/>
        <v>https://schnell-s3-image.s3.ap-south-1.amazonaws.com/luminator/339786d0-9230-11f1-bd26-3719ccaa9ffc.jpg</v>
      </c>
      <c r="N56" s="9" t="s">
        <v>363</v>
      </c>
      <c r="O56" s="7" t="s">
        <v>242</v>
      </c>
      <c r="P56" s="5">
        <v>13.0202157</v>
      </c>
      <c r="Q56" s="5">
        <v>77.594420099999994</v>
      </c>
      <c r="R56" s="5" t="s">
        <v>296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3</v>
      </c>
      <c r="Y56" s="3">
        <v>0</v>
      </c>
      <c r="Z56" s="3">
        <v>0</v>
      </c>
      <c r="AA56" s="3"/>
    </row>
    <row r="57" spans="1:27" x14ac:dyDescent="0.3">
      <c r="A57" s="9">
        <v>55</v>
      </c>
      <c r="B57" s="10" t="s">
        <v>122</v>
      </c>
      <c r="C57" s="9"/>
      <c r="D57" s="11" t="s">
        <v>176</v>
      </c>
      <c r="E57" s="11">
        <v>41936353</v>
      </c>
      <c r="F57" s="9"/>
      <c r="G57" s="8" t="str">
        <f>VLOOKUP(K57,[1]Sheet1!$B:$F,5,0)</f>
        <v>https://schnell-s3-image.s3.ap-south-1.amazonaws.com/luminator/09dcd620-c11f-11f0-8cbb-d54d266144bc.jpg</v>
      </c>
      <c r="H57" s="8" t="str">
        <f t="shared" si="0"/>
        <v>https://schnell-s3-image.s3.ap-south-1.amazonaws.com/luminator/09dcd620-c11f-11f0-8cbb-d54d266144bc.jpg</v>
      </c>
      <c r="I57" s="9" t="s">
        <v>236</v>
      </c>
      <c r="J57" s="9">
        <v>9</v>
      </c>
      <c r="K57" s="5" t="s">
        <v>81</v>
      </c>
      <c r="L57" s="8" t="s">
        <v>357</v>
      </c>
      <c r="M57" s="8" t="str">
        <f t="shared" si="1"/>
        <v>https://schnell-s3-image.s3.ap-south-1.amazonaws.com/luminator/881d2fe0-924c-11f1-a1dd-07f8d5362ab4.jpg</v>
      </c>
      <c r="N57" s="9" t="s">
        <v>363</v>
      </c>
      <c r="O57" s="7" t="s">
        <v>242</v>
      </c>
      <c r="P57" s="5">
        <v>13.011813099999999</v>
      </c>
      <c r="Q57" s="5">
        <v>77.595523999999997</v>
      </c>
      <c r="R57" s="5" t="s">
        <v>297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2</v>
      </c>
      <c r="Y57" s="3">
        <v>0</v>
      </c>
      <c r="Z57" s="3">
        <v>0</v>
      </c>
      <c r="AA57" s="3"/>
    </row>
    <row r="58" spans="1:27" x14ac:dyDescent="0.3">
      <c r="A58" s="9">
        <v>56</v>
      </c>
      <c r="B58" s="10">
        <v>107</v>
      </c>
      <c r="C58" s="9"/>
      <c r="D58" s="11" t="s">
        <v>177</v>
      </c>
      <c r="E58" s="11">
        <v>2923198</v>
      </c>
      <c r="F58" s="9"/>
      <c r="G58" s="8" t="str">
        <f>VLOOKUP(K58,[1]Sheet1!$B:$F,5,0)</f>
        <v>https://schnell-s3-image.s3.ap-south-1.amazonaws.com/luminator/57bdc7f0-bec7-11f0-8aeb-3f8553bef229.jpg</v>
      </c>
      <c r="H58" s="8" t="str">
        <f t="shared" si="0"/>
        <v>https://schnell-s3-image.s3.ap-south-1.amazonaws.com/luminator/57bdc7f0-bec7-11f0-8aeb-3f8553bef229.jpg</v>
      </c>
      <c r="I58" s="9" t="s">
        <v>237</v>
      </c>
      <c r="J58" s="9">
        <v>20</v>
      </c>
      <c r="K58" s="5" t="s">
        <v>82</v>
      </c>
      <c r="L58" s="8" t="s">
        <v>358</v>
      </c>
      <c r="M58" s="8" t="str">
        <f t="shared" si="1"/>
        <v>https://schnell-s3-image.s3.ap-south-1.amazonaws.com/luminator/57f3f500-922f-11f1-80a6-1fddeba32bfb.jpg</v>
      </c>
      <c r="N58" s="9" t="s">
        <v>363</v>
      </c>
      <c r="O58" s="7" t="s">
        <v>242</v>
      </c>
      <c r="P58" s="5">
        <v>13.019284799999999</v>
      </c>
      <c r="Q58" s="5">
        <v>77.594515900000005</v>
      </c>
      <c r="R58" s="5" t="s">
        <v>298</v>
      </c>
      <c r="S58" s="4">
        <v>3</v>
      </c>
      <c r="T58" s="4">
        <v>7</v>
      </c>
      <c r="U58" s="4">
        <v>0</v>
      </c>
      <c r="V58" s="4">
        <v>0</v>
      </c>
      <c r="W58" s="4">
        <v>0</v>
      </c>
      <c r="X58" s="4">
        <v>8</v>
      </c>
      <c r="Y58" s="3">
        <v>1</v>
      </c>
      <c r="Z58" s="3">
        <v>0</v>
      </c>
      <c r="AA58" s="3"/>
    </row>
    <row r="59" spans="1:27" x14ac:dyDescent="0.3">
      <c r="A59" s="9">
        <v>57</v>
      </c>
      <c r="B59" s="10">
        <v>37</v>
      </c>
      <c r="C59" s="9"/>
      <c r="D59" s="11" t="s">
        <v>178</v>
      </c>
      <c r="E59" s="11">
        <v>11444</v>
      </c>
      <c r="F59" s="9"/>
      <c r="G59" s="8" t="str">
        <f>VLOOKUP(K59,[1]Sheet1!$B:$F,5,0)</f>
        <v>https://schnell-s3-image.s3.ap-south-1.amazonaws.com/luminator/576aa0e0-c122-11f0-8cbb-d54d266144bc.jpg</v>
      </c>
      <c r="H59" s="8" t="str">
        <f t="shared" si="0"/>
        <v>https://schnell-s3-image.s3.ap-south-1.amazonaws.com/luminator/576aa0e0-c122-11f0-8cbb-d54d266144bc.jpg</v>
      </c>
      <c r="I59" s="9" t="s">
        <v>238</v>
      </c>
      <c r="J59" s="9">
        <v>5</v>
      </c>
      <c r="K59" s="5" t="s">
        <v>83</v>
      </c>
      <c r="L59" s="8" t="s">
        <v>359</v>
      </c>
      <c r="M59" s="8" t="str">
        <f t="shared" si="1"/>
        <v>https://schnell-s3-image.s3.ap-south-1.amazonaws.com/luminator/45a503b0-924f-11f1-bd22-43da21b2a305.jpg</v>
      </c>
      <c r="N59" s="9" t="s">
        <v>363</v>
      </c>
      <c r="O59" s="7" t="s">
        <v>242</v>
      </c>
      <c r="P59" s="5">
        <v>13.0100707</v>
      </c>
      <c r="Q59" s="5">
        <v>77.5947733</v>
      </c>
      <c r="R59" s="5" t="s">
        <v>299</v>
      </c>
      <c r="S59" s="4">
        <v>0</v>
      </c>
      <c r="T59" s="4">
        <v>8</v>
      </c>
      <c r="U59" s="4">
        <v>0</v>
      </c>
      <c r="V59" s="4">
        <v>0</v>
      </c>
      <c r="W59" s="4">
        <v>0</v>
      </c>
      <c r="X59" s="4">
        <v>8</v>
      </c>
      <c r="Y59" s="3">
        <v>6</v>
      </c>
      <c r="Z59" s="3">
        <v>0</v>
      </c>
      <c r="AA59" s="3"/>
    </row>
    <row r="60" spans="1:27" x14ac:dyDescent="0.3">
      <c r="A60" s="9">
        <v>58</v>
      </c>
      <c r="B60" s="10">
        <v>32</v>
      </c>
      <c r="C60" s="9"/>
      <c r="D60" s="11" t="s">
        <v>179</v>
      </c>
      <c r="E60" s="11" t="s">
        <v>118</v>
      </c>
      <c r="F60" s="9"/>
      <c r="G60" s="8" t="str">
        <f>VLOOKUP(K60,[1]Sheet1!$B:$F,5,0)</f>
        <v>https://schnell-s3-image.s3.ap-south-1.amazonaws.com/luminator/5fa0e170-c442-11f0-9374-6b32d9164795.jpg</v>
      </c>
      <c r="H60" s="8" t="str">
        <f t="shared" si="0"/>
        <v>https://schnell-s3-image.s3.ap-south-1.amazonaws.com/luminator/5fa0e170-c442-11f0-9374-6b32d9164795.jpg</v>
      </c>
      <c r="I60" s="9" t="s">
        <v>239</v>
      </c>
      <c r="J60" s="9">
        <v>11</v>
      </c>
      <c r="K60" s="5" t="s">
        <v>84</v>
      </c>
      <c r="L60" s="8" t="s">
        <v>360</v>
      </c>
      <c r="M60" s="8" t="str">
        <f t="shared" si="1"/>
        <v>https://schnell-s3-image.s3.ap-south-1.amazonaws.com/luminator/36762670-9485-11f1-a82c-7141e83d45b3.jpg</v>
      </c>
      <c r="N60" s="9" t="s">
        <v>363</v>
      </c>
      <c r="O60" s="7" t="s">
        <v>242</v>
      </c>
      <c r="P60" s="5">
        <v>13.0233116</v>
      </c>
      <c r="Q60" s="5">
        <v>77.595897199999996</v>
      </c>
      <c r="R60" s="5" t="s">
        <v>300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5</v>
      </c>
      <c r="Y60" s="3">
        <v>0</v>
      </c>
      <c r="Z60" s="3">
        <v>5</v>
      </c>
      <c r="AA60" s="3"/>
    </row>
    <row r="61" spans="1:27" x14ac:dyDescent="0.3">
      <c r="A61" s="9">
        <v>59</v>
      </c>
      <c r="B61" s="10">
        <v>14</v>
      </c>
      <c r="C61" s="9"/>
      <c r="D61" s="11" t="s">
        <v>180</v>
      </c>
      <c r="E61" s="11" t="s">
        <v>119</v>
      </c>
      <c r="F61" s="9"/>
      <c r="G61" s="8" t="str">
        <f>VLOOKUP(K61,[1]Sheet1!$B:$F,5,0)</f>
        <v>https://schnell-s3-image.s3.ap-south-1.amazonaws.com/luminator/c11f4100-bebe-11f0-8aeb-3f8553bef229.jpg</v>
      </c>
      <c r="H61" s="8" t="str">
        <f t="shared" si="0"/>
        <v>https://schnell-s3-image.s3.ap-south-1.amazonaws.com/luminator/c11f4100-bebe-11f0-8aeb-3f8553bef229.jpg</v>
      </c>
      <c r="I61" s="9" t="s">
        <v>240</v>
      </c>
      <c r="J61" s="9">
        <v>18</v>
      </c>
      <c r="K61" s="5" t="s">
        <v>85</v>
      </c>
      <c r="L61" s="8" t="s">
        <v>361</v>
      </c>
      <c r="M61" s="8" t="str">
        <f t="shared" si="1"/>
        <v>https://schnell-s3-image.s3.ap-south-1.amazonaws.com/luminator/c1c3c470-9490-11f1-8852-71ac46392da4.jpg</v>
      </c>
      <c r="N61" s="9" t="s">
        <v>363</v>
      </c>
      <c r="O61" s="7" t="s">
        <v>242</v>
      </c>
      <c r="P61" s="5">
        <v>13.021537199999999</v>
      </c>
      <c r="Q61" s="5">
        <v>77.596757800000006</v>
      </c>
      <c r="R61" s="5" t="s">
        <v>301</v>
      </c>
      <c r="S61" s="4">
        <v>0</v>
      </c>
      <c r="T61" s="4">
        <v>0</v>
      </c>
      <c r="U61" s="4">
        <v>0</v>
      </c>
      <c r="V61" s="4">
        <v>0</v>
      </c>
      <c r="W61" s="4">
        <v>5</v>
      </c>
      <c r="X61" s="4">
        <v>0</v>
      </c>
      <c r="Y61" s="3">
        <v>1</v>
      </c>
      <c r="Z61" s="3">
        <v>11</v>
      </c>
      <c r="AA61" s="3"/>
    </row>
    <row r="62" spans="1:27" x14ac:dyDescent="0.3">
      <c r="A62" s="9">
        <v>60</v>
      </c>
      <c r="B62" s="10" t="s">
        <v>122</v>
      </c>
      <c r="C62" s="9"/>
      <c r="D62" s="11" t="s">
        <v>181</v>
      </c>
      <c r="E62" s="11">
        <v>23504309</v>
      </c>
      <c r="F62" s="9"/>
      <c r="G62" s="8" t="str">
        <f>VLOOKUP(K62,[1]Sheet1!$B:$F,5,0)</f>
        <v>https://schnell-s3-image.s3.ap-south-1.amazonaws.com/luminator/f461dcf0-bc82-11f0-b835-491e4cc27c0e.jpg</v>
      </c>
      <c r="H62" s="8" t="str">
        <f t="shared" si="0"/>
        <v>https://schnell-s3-image.s3.ap-south-1.amazonaws.com/luminator/f461dcf0-bc82-11f0-b835-491e4cc27c0e.jpg</v>
      </c>
      <c r="I62" s="9" t="s">
        <v>241</v>
      </c>
      <c r="J62" s="9">
        <v>11</v>
      </c>
      <c r="K62" s="5" t="s">
        <v>86</v>
      </c>
      <c r="L62" s="8" t="s">
        <v>362</v>
      </c>
      <c r="M62" s="8" t="str">
        <f t="shared" si="1"/>
        <v>https://schnell-s3-image.s3.ap-south-1.amazonaws.com/luminator/b17216a0-9498-11f1-8cc5-037bca23909e.jpg</v>
      </c>
      <c r="N62" s="9" t="s">
        <v>363</v>
      </c>
      <c r="O62" s="7" t="s">
        <v>242</v>
      </c>
      <c r="P62" s="5">
        <v>13.017994399999999</v>
      </c>
      <c r="Q62" s="5">
        <v>77.595458800000003</v>
      </c>
      <c r="R62" s="5" t="s">
        <v>302</v>
      </c>
      <c r="S62" s="4">
        <v>3</v>
      </c>
      <c r="T62" s="4">
        <v>6</v>
      </c>
      <c r="U62" s="4">
        <v>0</v>
      </c>
      <c r="V62" s="4">
        <v>0</v>
      </c>
      <c r="W62" s="4">
        <v>0</v>
      </c>
      <c r="X62" s="4">
        <v>5</v>
      </c>
      <c r="Y62" s="3">
        <v>1</v>
      </c>
      <c r="Z62" s="3">
        <v>23</v>
      </c>
      <c r="AA62" s="3"/>
    </row>
  </sheetData>
  <mergeCells count="2">
    <mergeCell ref="A1:G1"/>
    <mergeCell ref="I1:AA1"/>
  </mergeCells>
  <hyperlinks>
    <hyperlink ref="L3" r:id="rId1" xr:uid="{05B8F2DD-EE5B-44B6-8339-D5B43A904F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Venkatesh Dhanabalan</cp:lastModifiedBy>
  <dcterms:created xsi:type="dcterms:W3CDTF">2026-09-11T05:23:27Z</dcterms:created>
  <dcterms:modified xsi:type="dcterms:W3CDTF">2026-10-21T12:18:16Z</dcterms:modified>
</cp:coreProperties>
</file>