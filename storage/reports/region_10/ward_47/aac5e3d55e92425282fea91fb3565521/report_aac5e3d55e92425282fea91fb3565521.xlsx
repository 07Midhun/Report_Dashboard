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\Desktop\Final Pole, lamp , SLC &amp; Commissioning Report\FINAL REPORT\SLC BBMP Format - Mail Sent\North\Sarvagna Nagar\"/>
    </mc:Choice>
  </mc:AlternateContent>
  <xr:revisionPtr revIDLastSave="0" documentId="13_ncr:1_{FB872FA0-3246-43C8-8DAC-E06213816FB3}" xr6:coauthVersionLast="47" xr6:coauthVersionMax="47" xr10:uidLastSave="{00000000-0000-0000-0000-000000000000}"/>
  <bookViews>
    <workbookView xWindow="-108" yWindow="-108" windowWidth="23256" windowHeight="12456" xr2:uid="{72302C09-CFA2-4D0E-B448-5C133E592367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Sheet1!$A$2:$AE$71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1" i="1" l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<sst xmlns="http://schemas.openxmlformats.org/spreadsheetml/2006/main" count="567" uniqueCount="403">
  <si>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</si>
  <si>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</si>
  <si>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</si>
  <si>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</si>
  <si>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</si>
  <si>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</si>
  <si>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</si>
  <si>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</si>
  <si>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</si>
  <si>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</si>
  <si>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</si>
  <si>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</si>
  <si>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</si>
  <si>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</si>
  <si>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</si>
  <si>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</si>
  <si>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</si>
  <si>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</si>
  <si>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</si>
  <si>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</si>
  <si>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</si>
  <si>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</si>
  <si>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</si>
  <si>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</si>
  <si>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</si>
  <si>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</si>
  <si>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</si>
  <si>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SSC107SM03357</t>
  </si>
  <si>
    <t>SSC107SM02271</t>
  </si>
  <si>
    <t>SSC107SM02276</t>
  </si>
  <si>
    <t>SSC107SM02330</t>
  </si>
  <si>
    <t>SSC107SM02360</t>
  </si>
  <si>
    <t>SSC107SM02840</t>
  </si>
  <si>
    <t>SSC107SM02950</t>
  </si>
  <si>
    <t>SSC107SM02972</t>
  </si>
  <si>
    <t>SSC107SM02976</t>
  </si>
  <si>
    <t>SSC107SM02985</t>
  </si>
  <si>
    <t>SSC107SM02988</t>
  </si>
  <si>
    <t>SSC107SM02990</t>
  </si>
  <si>
    <t>SSC107SM02991</t>
  </si>
  <si>
    <t>SSC107SM02992</t>
  </si>
  <si>
    <t>SSC107SM02993</t>
  </si>
  <si>
    <t>SSC107SM03000</t>
  </si>
  <si>
    <t>SSC107SM03001</t>
  </si>
  <si>
    <t>SSC107SM03010</t>
  </si>
  <si>
    <t>SSC107SM03014</t>
  </si>
  <si>
    <t>SSC107SM03016</t>
  </si>
  <si>
    <t>SSC107SM03022</t>
  </si>
  <si>
    <t>SSC107SM03024</t>
  </si>
  <si>
    <t>SSC107SM03028</t>
  </si>
  <si>
    <t>SSC107SM03034</t>
  </si>
  <si>
    <t>SSC107SM03044</t>
  </si>
  <si>
    <t>SSC107SM03047</t>
  </si>
  <si>
    <t>SSC107SM03059</t>
  </si>
  <si>
    <t>SSC107SM03061</t>
  </si>
  <si>
    <t>SSC107SM03075</t>
  </si>
  <si>
    <t>SSC107SM03080</t>
  </si>
  <si>
    <t>SSC107SM03081</t>
  </si>
  <si>
    <t>SSC107SM03140</t>
  </si>
  <si>
    <t>SSC107SM03145</t>
  </si>
  <si>
    <t>SSC107SM03510</t>
  </si>
  <si>
    <t>SSC107SM03599</t>
  </si>
  <si>
    <t>SSC107SM03821</t>
  </si>
  <si>
    <t>SSC107SM03879</t>
  </si>
  <si>
    <t>SSC107SM03900</t>
  </si>
  <si>
    <t>SSC107SM03916</t>
  </si>
  <si>
    <t>SSC107SM03930</t>
  </si>
  <si>
    <t>SSC107SM04046</t>
  </si>
  <si>
    <t>SSC107SM04126</t>
  </si>
  <si>
    <t>SSC107SM03003</t>
  </si>
  <si>
    <t>SSC107SM03662</t>
  </si>
  <si>
    <t>SSC107SM03679</t>
  </si>
  <si>
    <t>SSC107SM03698</t>
  </si>
  <si>
    <t>SSC107SM03738</t>
  </si>
  <si>
    <t>SSC107SM03909</t>
  </si>
  <si>
    <t>SSC107SM03913</t>
  </si>
  <si>
    <t>SSC107SM03977</t>
  </si>
  <si>
    <t>SSC107SM03994</t>
  </si>
  <si>
    <t>SSC107SM04036</t>
  </si>
  <si>
    <t>SSC107SM04040</t>
  </si>
  <si>
    <t>SSC107SM04041</t>
  </si>
  <si>
    <t>SSC107SM04136</t>
  </si>
  <si>
    <t>SSC107SM04217</t>
  </si>
  <si>
    <t>SSC107SM04302</t>
  </si>
  <si>
    <t>SSC107SM04309</t>
  </si>
  <si>
    <t>SSC107SM04474</t>
  </si>
  <si>
    <t>SSC107SM04751</t>
  </si>
  <si>
    <t>SSC107SM04753</t>
  </si>
  <si>
    <t>SSC107SM04764</t>
  </si>
  <si>
    <t>SSC107SM04793</t>
  </si>
  <si>
    <t>SSC107SM05086</t>
  </si>
  <si>
    <t>SSC107SM05143</t>
  </si>
  <si>
    <t>SSC107SM05170</t>
  </si>
  <si>
    <t>SSC107SM05175</t>
  </si>
  <si>
    <t>SSC107SM05178</t>
  </si>
  <si>
    <t>SSC107SM04925</t>
  </si>
  <si>
    <t>232,St Thomas Town,Kacharakanahalli,Bengaluru,Karnataka 560084,India</t>
  </si>
  <si>
    <t>219,Keshava Nagar,Kacharakanahalli,Bengaluru,Karnataka 560084,India</t>
  </si>
  <si>
    <t>50,10th Cross Rd,Ajjamallappa Layout,Yadava Layout,Peace Layout,Kacharakanahalli,Bengaluru,Karnataka 560084,India</t>
  </si>
  <si>
    <t>3rd L,14,3rd E-F Cross Rd,Indra Nagar,Ramaiah Layout,Kammanahalli,Bengaluru,Karnataka 560084,India</t>
  </si>
  <si>
    <t>228,1st E Cross Rd,St Thomas Town,Kacharakanahalli,Bengaluru,Karnataka 560084,India</t>
  </si>
  <si>
    <t>57,3rd Main Rd,St Thomas Town,Ramaiah Layout,Kammanahalli,Bengaluru,Karnataka 560084,India</t>
  </si>
  <si>
    <t>Pattamal Plaza,24,Valmiki Main Rd,Chinnappa Layout,Kammanahalli,Bengaluru,Karnataka 560084,India</t>
  </si>
  <si>
    <t>21,Kammanahalli Main Rd,Peace Layout,Kammanahalli,Bengaluru,Karnataka 560033,India</t>
  </si>
  <si>
    <t>13t,Oil Mill Rd,Peace Layout,Kacharakanahalli,Bengaluru,Karnataka 560084,India</t>
  </si>
  <si>
    <t>15/1,2nd Cross Rd,St Thomas Town,Ramaiah Layout,Kammanahalli,Bengaluru,Karnataka 560084,India</t>
  </si>
  <si>
    <t>201,3rd C Cross Road,2nd మెయిన్ రోడ్డు,HRBR Layout 3rd Block,Keshava Nagar,Kalyan Nagar,Bengaluru,Karnataka 560084,India</t>
  </si>
  <si>
    <t>148,3rd H Main Rd,Ramaiah Layout,Kammanahalli,Bengaluru,Karnataka 560084,India</t>
  </si>
  <si>
    <t>267,2nd మెయిన్ రోడ్డు,Ajamalppa Layout,Kacharakanahalli,Bengaluru,Karnataka 560084,India</t>
  </si>
  <si>
    <t>36,2nd C Cross,St Thomas Town,Ramaiah Layout,Kammanahalli,Bengaluru,Karnataka 560084,India</t>
  </si>
  <si>
    <t>185/2,Keshava Nagar,Kacharakanahalli,Bengaluru,Karnataka 560084,India</t>
  </si>
  <si>
    <t>32,2nd C Cross,Ramaiah Layout,Kammanahalli,Bengaluru,Karnataka 560084,India</t>
  </si>
  <si>
    <t>2J8M+PCW,St Thomas Town,Ramaiah Layout,Kammanahalli,Bengaluru,Karnataka 560084,India</t>
  </si>
  <si>
    <t>1993/1,Ramakrishnappa Rd,Yadava Layout,Peace Layout,Kacharakanahalli,Bengaluru,Karnataka 560084,India</t>
  </si>
  <si>
    <t>7/8,Oil Mill Rd,AravindNagar,Ramaswamipalya,Kammanahalli,Bengaluru,Karnataka 560084,India</t>
  </si>
  <si>
    <t>4DC,203,4th D Cross Rd,HRBR Layout 3rd Block,HRBR Layout,Kalyan Nagar,Bengaluru,Karnataka 560043,India</t>
  </si>
  <si>
    <t>419,3rd B Main Rd,opposite trust office,HRBR Layout 3rd Block,HRBR Layout,Kalyan Nagar,Bengaluru,Karnataka 560043,India</t>
  </si>
  <si>
    <t>352,3rd A Main Rd,HRBR Layout 3rd Block,HRBR Layout,Kalyan Nagar,Bengaluru,Karnataka 560043,India</t>
  </si>
  <si>
    <t>Ground Floor,412,3rd A Main Rd,HRBR Layout 3rd Block,HRBR Layout,Kalyan Nagar,Bengaluru,Karnataka 560043,India</t>
  </si>
  <si>
    <t>3,3rd Main Rd,HRBR Layout 3rd Block,HRBR Layout,Kalyan Nagar,Bengaluru,Karnataka 560043,India</t>
  </si>
  <si>
    <t>227,3rd Main Rd,HRBR Layout 3rd Block,Keshava Nagar,Kacharakanahalli,Bengaluru,Karnataka 560043,India</t>
  </si>
  <si>
    <t>No. 220,CMR Main Rd,HRBR Layout 3rd Block,3rd Block,Kalyan Nagar,Bengaluru,Karnataka 560043,India</t>
  </si>
  <si>
    <t>63,2nd I Cross,Indra Nagar,Chinnappa Layout,Ramaiah Layout,Kammanahalli,Bengaluru,Karnataka 560084,India</t>
  </si>
  <si>
    <t>5th Cross Rd,411,4th G Main Rd,HRBR Layout 2nd Block,HRBR Layout,Kalyan Nagar,Bengaluru,Karnataka 560043,India</t>
  </si>
  <si>
    <t>1861,Sena Vihar,Kammanahalli,Bengaluru,Karnataka 560043,India</t>
  </si>
  <si>
    <t>2JFQ+CV7,5th Main Rd,HRBR Layout 2nd Block,HRBR Layout,Kalyan Nagar,Bengaluru,Karnataka 560043,India</t>
  </si>
  <si>
    <t>306,4th D Cross Rd,HRBR Layout 3rd Block,HRBR Layout,Kalyan Nagar,Bengaluru,Karnataka 560043,India</t>
  </si>
  <si>
    <t>Vasan Eye Care,Building,HRBR Layout 3rd Block,HRBR Layout,Kalyan Nagar,Bengaluru,Karnataka 560043,India</t>
  </si>
  <si>
    <t>62,3rd Cross Rd,Indra Nagar,Ramaiah Layout,Kammanahalli,Bengaluru,Karnataka 560084,India</t>
  </si>
  <si>
    <t>#220,5th A Cross Rd,HRBR Layout 3rd Block,HRBR Layout,Kalyan Nagar,Bengaluru,Karnataka 560043,India</t>
  </si>
  <si>
    <t>209C,near Shivam Vishwa Hospital H,HBR Layout 2nd Block,Teachers Colony,B R Layout,Bengaluru,Karnataka 560084,India</t>
  </si>
  <si>
    <t>2000,2nd G Cross Rd,Indra Nagar,Ramaiah Layout,Kammanahalli,Bengaluru,Karnataka 560084,India</t>
  </si>
  <si>
    <t>408,7th Main Rd,HBR Layout 2nd Block,Stage 1,HBR Layout,Bengaluru,Karnataka 560084,India</t>
  </si>
  <si>
    <t>342,2nd మెయిన్ రోడ్డు,1st Stage,Kacharakanahalli,Bengaluru,Karnataka 560084,India</t>
  </si>
  <si>
    <t>2JCH+4VW,HBR Layout 2nd Block,1st Stage,HBR Layout,Bengaluru,Karnataka 560084,India</t>
  </si>
  <si>
    <t>44,2nd Cross Rd,RK Hegde Nagar,1st Stage,Kadugondanahalli,Bengaluru,Karnataka 560084,India</t>
  </si>
  <si>
    <t>2J9H+GWX,Hennur Main Rd,1st Block,1st Stage,Kadugondanahalli,Bengaluru,Karnataka 560084,India</t>
  </si>
  <si>
    <t>15,Oil Mill Rd,Peace Layout,Kacharakanahalli,Bengaluru,Karnataka 560084,India</t>
  </si>
  <si>
    <t>76,Nehru Rd,St Thomas Town,Kamanahalli,Circle Signal,Bengaluru,Karnataka 560084,India</t>
  </si>
  <si>
    <t>20 Old Bagalore Layout,8th Cross Rd,1st Stage,Lingarajapuram,Bengaluru,Karnataka 560084,India</t>
  </si>
  <si>
    <t>C-21,C-21,Oil Mill Rd,Sait Palya Layout,Lingarajapuram,Bengaluru,Karnataka 560084,India</t>
  </si>
  <si>
    <t>Main,7th Main Rd,near Rajkumar Park,Subbaiahnapalya,Kalyan Nagar,Bengaluru,Karnataka 560033,India</t>
  </si>
  <si>
    <t>2JCQ+QRQ,5th Main Rd,HRBR Layout 2nd Block,HRBR Layout,Kalyan Nagar,Bengaluru,Karnataka 560043,India</t>
  </si>
  <si>
    <t>2C/233,2nd Cross Rd,St Thomas Town,Kacharakanahalli,Bengaluru,Karnataka 560084,India</t>
  </si>
  <si>
    <t>65,Kammanahalli Main Rd,Near Satya Hospital,Sena Vihar,Kammanahalli,Bengaluru,Karnataka 560043,India</t>
  </si>
  <si>
    <t>Padma Ground,318,1st B Cross Rd,St Thomas Town,Kammanahalli,Bengaluru,Karnataka 560084,India</t>
  </si>
  <si>
    <t>50/5,Sait Palya Layout,Lingarajapuram,Bengaluru,Karnataka 560084,India</t>
  </si>
  <si>
    <t>Block 2,No 6 Teachers Colony 4th Cross,8th Main Rd,opp. Royal Public School,HBR Layout 2nd Block,HRBR Layout,HBR Layout,Bengaluru,Karnataka 560043,India</t>
  </si>
  <si>
    <t>82,St Thomas Town,Heerti Layout,Kammanahalli,Bengaluru,Karnataka 560084,India</t>
  </si>
  <si>
    <t>1193,Ajjamallappa Layout,Yadava Layout,Peace Layout,Kacharakanahalli,Bengaluru,Karnataka 560084,India</t>
  </si>
  <si>
    <t>239/1,HRBR Layout 3rd Block,Keshava Nagar,Kacharakanahalli,Bengaluru,Karnataka 560084,India</t>
  </si>
  <si>
    <t>Block 312,Z Cross Rd,HRBR Layout,Kalyan Nagar,Bengaluru,Karnataka 560084,India</t>
  </si>
  <si>
    <t>13,7th Cross Rd,St Thomas Town,Kacharakanahalli,Bengaluru,Karnataka 560084,India</t>
  </si>
  <si>
    <t>231,1st C Cross Rd,St Thomas Town,Kacharakanahalli,Bengaluru,Karnataka 560084,India</t>
  </si>
  <si>
    <t>49,17th Cross Rd,Peace Layout,Kammanahalli,Bengaluru,Karnataka 560084,India</t>
  </si>
  <si>
    <t>231,80 Feet Rd,Near CMR National Public School - HRBR,Chanakeshava Layout,Keshava Nagar,Kacharakanahalli,Bengaluru,Karnataka 560084,India</t>
  </si>
  <si>
    <t>263,5th Cross Rd,St Thomas Town,Kacharakanahalli,Bengaluru,Karnataka 560084,India</t>
  </si>
  <si>
    <t>155/1,New Airport Rd,RK Hegde Nagar,1st Stage,Kadugondanahalli,Bengaluru,Karnataka 560084,India</t>
  </si>
  <si>
    <t>13,2nd C Cross,St Thomas Town,Ramaiah Layout,Kammanahalli,Bengaluru,Karnataka 560084,India</t>
  </si>
  <si>
    <t>2JCH+JXP,13th CrossRoad,HBR Layout 2nd Block,Keshava Nagar,Kacharakanahalli,Bengaluru,Karnataka 560084,India</t>
  </si>
  <si>
    <t>1218,1st D Cross Rd,HRBR Layout 3rd Block,Kacharakanahalli,Bengaluru,Karnataka 560084,India</t>
  </si>
  <si>
    <t>Block 3,HRBR Layout 3rd Block,HRBR Layout,Kalyan Nagar,Bengaluru,Karnataka 560043,India</t>
  </si>
  <si>
    <t>Y</t>
  </si>
  <si>
    <t>N</t>
  </si>
  <si>
    <t>-</t>
  </si>
  <si>
    <t>SALSS003015</t>
  </si>
  <si>
    <t>SALSS001255</t>
  </si>
  <si>
    <t>SALSS001929</t>
  </si>
  <si>
    <t>SALSS001988</t>
  </si>
  <si>
    <t>SALSS001716</t>
  </si>
  <si>
    <t>SALSS003077</t>
  </si>
  <si>
    <t>SALSS002666</t>
  </si>
  <si>
    <t>SALSS003271</t>
  </si>
  <si>
    <t>SALSS003499</t>
  </si>
  <si>
    <t>SALSS002944</t>
  </si>
  <si>
    <t>SALSS003182</t>
  </si>
  <si>
    <t>SALSS003539</t>
  </si>
  <si>
    <t>SALSS003187</t>
  </si>
  <si>
    <t>SALSS003493</t>
  </si>
  <si>
    <t>SALSS003204</t>
  </si>
  <si>
    <t>SALSS003207</t>
  </si>
  <si>
    <t>SALSS002779</t>
  </si>
  <si>
    <t>SALSS003626</t>
  </si>
  <si>
    <t>SALSS002946</t>
  </si>
  <si>
    <t>SALSS003498</t>
  </si>
  <si>
    <t>SALSS003575</t>
  </si>
  <si>
    <t>SALSS003367</t>
  </si>
  <si>
    <t>SALSS003369</t>
  </si>
  <si>
    <t>SALSS002950</t>
  </si>
  <si>
    <t>SALSS003205</t>
  </si>
  <si>
    <t>SALSS003277</t>
  </si>
  <si>
    <t>SALSS003500</t>
  </si>
  <si>
    <t>SALSS002772</t>
  </si>
  <si>
    <t>SALSS003461</t>
  </si>
  <si>
    <t>SALSS003181</t>
  </si>
  <si>
    <t>SALSS003184</t>
  </si>
  <si>
    <t>SALSS003212</t>
  </si>
  <si>
    <t>SALSS003166</t>
  </si>
  <si>
    <t>SALSS003650</t>
  </si>
  <si>
    <t>SALSS003316</t>
  </si>
  <si>
    <t>SALSS003840</t>
  </si>
  <si>
    <t>SALSS004397</t>
  </si>
  <si>
    <t>SALSS003934</t>
  </si>
  <si>
    <t>SALSS003922</t>
  </si>
  <si>
    <t>SALSS003863</t>
  </si>
  <si>
    <t>SALSS004190</t>
  </si>
  <si>
    <t>SALSS004034</t>
  </si>
  <si>
    <t>SALSS003480</t>
  </si>
  <si>
    <t>SALSS003807</t>
  </si>
  <si>
    <t>SALSS003767</t>
  </si>
  <si>
    <t>SALSS004101</t>
  </si>
  <si>
    <t>SALSS004375</t>
  </si>
  <si>
    <t>SALSS004294</t>
  </si>
  <si>
    <t>SALSS004137</t>
  </si>
  <si>
    <t>SALSS003701</t>
  </si>
  <si>
    <t>SALSS003818</t>
  </si>
  <si>
    <t>SALSS004094</t>
  </si>
  <si>
    <t>SALSS004082</t>
  </si>
  <si>
    <t>SALSS004269</t>
  </si>
  <si>
    <t>SALSS004037</t>
  </si>
  <si>
    <t>SALSS004783</t>
  </si>
  <si>
    <t>SALSS003654</t>
  </si>
  <si>
    <t>SALSS004821</t>
  </si>
  <si>
    <t>SALSS004816</t>
  </si>
  <si>
    <t>SALSS004486</t>
  </si>
  <si>
    <t>SALSS004496</t>
  </si>
  <si>
    <t>SALSS004549</t>
  </si>
  <si>
    <t>SALSS004459</t>
  </si>
  <si>
    <t>SALSS005104</t>
  </si>
  <si>
    <t>SALSS005381</t>
  </si>
  <si>
    <t>SALSS004904</t>
  </si>
  <si>
    <t>SALSS005431</t>
  </si>
  <si>
    <t>SALSS005428</t>
  </si>
  <si>
    <t>SALSS005168</t>
  </si>
  <si>
    <t>A2307731</t>
  </si>
  <si>
    <t>BC0571110</t>
  </si>
  <si>
    <t>A2307737</t>
  </si>
  <si>
    <t>BC117159</t>
  </si>
  <si>
    <t>A2307728</t>
  </si>
  <si>
    <t>A2307730</t>
  </si>
  <si>
    <t>A2307736</t>
  </si>
  <si>
    <t>A2307721</t>
  </si>
  <si>
    <t>A2307740</t>
  </si>
  <si>
    <t>A2307722</t>
  </si>
  <si>
    <t>A2308542</t>
  </si>
  <si>
    <t>BC1165599</t>
  </si>
  <si>
    <t>A2307724</t>
  </si>
  <si>
    <t>BC1475717</t>
  </si>
  <si>
    <t>BC0242273</t>
  </si>
  <si>
    <t>BC0513271</t>
  </si>
  <si>
    <t>A2307726</t>
  </si>
  <si>
    <t>BC0333989</t>
  </si>
  <si>
    <t>BC0487287</t>
  </si>
  <si>
    <t>C0082289</t>
  </si>
  <si>
    <t>A2307738</t>
  </si>
  <si>
    <t>BD0858233</t>
  </si>
  <si>
    <t>BC1316817</t>
  </si>
  <si>
    <t>A2307723</t>
  </si>
  <si>
    <t>A2307739</t>
  </si>
  <si>
    <t>BC0665499</t>
  </si>
  <si>
    <t>BD0393518</t>
  </si>
  <si>
    <t>K2-251451</t>
  </si>
  <si>
    <t>A2308556</t>
  </si>
  <si>
    <t>BC142816</t>
  </si>
  <si>
    <t>C0193412</t>
  </si>
  <si>
    <t>BC1060471</t>
  </si>
  <si>
    <t>C765273</t>
  </si>
  <si>
    <t>BC215202</t>
  </si>
  <si>
    <t>BC2244009</t>
  </si>
  <si>
    <t>BC0925587</t>
  </si>
  <si>
    <t>SL22</t>
  </si>
  <si>
    <t>5ESL2919</t>
  </si>
  <si>
    <t>5ESL62604</t>
  </si>
  <si>
    <t>5ESL-2910</t>
  </si>
  <si>
    <t>SL111</t>
  </si>
  <si>
    <t>SL33</t>
  </si>
  <si>
    <t>SL45</t>
  </si>
  <si>
    <t>E5LRS109</t>
  </si>
  <si>
    <t>SL-30</t>
  </si>
  <si>
    <t>SL47</t>
  </si>
  <si>
    <t>5ESL2895</t>
  </si>
  <si>
    <t>SL-31</t>
  </si>
  <si>
    <t>SL-43</t>
  </si>
  <si>
    <t>5SL-118</t>
  </si>
  <si>
    <t>SL34</t>
  </si>
  <si>
    <t>SL35</t>
  </si>
  <si>
    <t>5ESL2908</t>
  </si>
  <si>
    <t>SL37</t>
  </si>
  <si>
    <t>13L-46</t>
  </si>
  <si>
    <t>C34638</t>
  </si>
  <si>
    <t>SL-40</t>
  </si>
  <si>
    <t>E5LRSL4524</t>
  </si>
  <si>
    <t>SL-77</t>
  </si>
  <si>
    <t>5ESL58514</t>
  </si>
  <si>
    <t>SL-29</t>
  </si>
  <si>
    <t>SL36</t>
  </si>
  <si>
    <t>SE0L940493</t>
  </si>
  <si>
    <t>5ESL-58510</t>
  </si>
  <si>
    <t>SL44</t>
  </si>
  <si>
    <t>ESLRSL-32</t>
  </si>
  <si>
    <t>5ESL2899</t>
  </si>
  <si>
    <t>SL-42190</t>
  </si>
  <si>
    <t>E5LRS174</t>
  </si>
  <si>
    <t>SL78</t>
  </si>
  <si>
    <t>5ESL-2879</t>
  </si>
  <si>
    <t>SL23</t>
  </si>
  <si>
    <t>SL25</t>
  </si>
  <si>
    <t>5ESC-2912</t>
  </si>
  <si>
    <t>ESLRSL-27</t>
  </si>
  <si>
    <t>5ESL-58502</t>
  </si>
  <si>
    <t>SL-39</t>
  </si>
  <si>
    <t>8ESTL186</t>
  </si>
  <si>
    <t>8ESTL187</t>
  </si>
  <si>
    <t>5EEH41257</t>
  </si>
  <si>
    <t>SL40</t>
  </si>
  <si>
    <t>SL-38</t>
  </si>
  <si>
    <t>MR-153R2</t>
  </si>
  <si>
    <t>5ESL2914</t>
  </si>
  <si>
    <t>5ESL2911</t>
  </si>
  <si>
    <t>SL17</t>
  </si>
  <si>
    <t>CTS-751215</t>
  </si>
  <si>
    <t>8ESTL2896</t>
  </si>
  <si>
    <t>SL48</t>
  </si>
  <si>
    <t>5ESTL59536</t>
  </si>
  <si>
    <t>5ESTL59530</t>
  </si>
  <si>
    <t>BESL42189</t>
  </si>
  <si>
    <t>5ESTL4592</t>
  </si>
  <si>
    <t>SESL59532</t>
  </si>
  <si>
    <t>SL2850</t>
  </si>
  <si>
    <t>SL2853</t>
  </si>
  <si>
    <t>ESLRSL-50</t>
  </si>
  <si>
    <t>https://schnell-s3-image.s3.ap-south-1.amazonaws.com/luminator/229d7a50-7c5b-11f1-b76a-0769aabf2b5a.jpg</t>
  </si>
  <si>
    <t>https://schnell-s3-image.s3.ap-south-1.amazonaws.com/luminator/34f99ce0-81df-11f1-9f60-b12c2e5215f1.jpg</t>
  </si>
  <si>
    <t>https://schnell-s3-image.s3.ap-south-1.amazonaws.com/luminator/a73a7bf0-81ce-11f1-89a8-1731b9379039.jpg</t>
  </si>
  <si>
    <t>https://schnell-s3-image.s3.ap-south-1.amazonaws.com/luminator/a1377c50-84d3-11f1-aafa-4765604e8aff.jpg</t>
  </si>
  <si>
    <t>https://schnell-s3-image.s3.ap-south-1.amazonaws.com/luminator/11a0fc30-81b6-11f1-bc08-e15b44a05b6c.jpg</t>
  </si>
  <si>
    <t>https://schnell-s3-image.s3.ap-south-1.amazonaws.com/luminator/4c568030-8430-11f1-81b0-f34b94009e06.jpg</t>
  </si>
  <si>
    <t>https://schnell-s3-image.s3.ap-south-1.amazonaws.com/luminator/3f540080-828f-11f1-9335-f55a2b22b11b.jpg</t>
  </si>
  <si>
    <t>https://schnell-s3-image.s3.ap-south-1.amazonaws.com/luminator/d2aaefb0-81a9-11f1-b05c-f74afc7165a9.jpg</t>
  </si>
  <si>
    <t>https://schnell-s3-image.s3.ap-south-1.amazonaws.com/luminator/6126fe50-84f7-11f1-af2c-eb429c46fd6e.jpg</t>
  </si>
  <si>
    <t>https://schnell-s3-image.s3.ap-south-1.amazonaws.com/luminator/a9534660-8269-11f1-a547-bf1165be59d8.jpg</t>
  </si>
  <si>
    <t>https://schnell-s3-image.s3.ap-south-1.amazonaws.com/luminator/2e8b28b0-825c-11f1-9017-fb5dad251afa.jpg</t>
  </si>
  <si>
    <t>https://schnell-s3-image.s3.ap-south-1.amazonaws.com/luminator/ce5160f0-8417-11f1-b302-730e08d9f8f6.jpg</t>
  </si>
  <si>
    <t>https://schnell-s3-image.s3.ap-south-1.amazonaws.com/luminator/29bb8520-8502-11f1-a80f-fde50ea66d9e.jpg</t>
  </si>
  <si>
    <t>https://schnell-s3-image.s3.ap-south-1.amazonaws.com/luminator/80275880-829b-11f1-8182-532eadd30268.jpg</t>
  </si>
  <si>
    <t>https://schnell-s3-image.s3.ap-south-1.amazonaws.com/luminator/69f3ab50-85ce-11f1-a470-ff9f344626e7.jpg</t>
  </si>
  <si>
    <t>https://schnell-s3-image.s3.ap-south-1.amazonaws.com/luminator/ab9d1c20-8426-11f1-9780-37e6b54940c9.jpg</t>
  </si>
  <si>
    <t>https://schnell-s3-image.s3.ap-south-1.amazonaws.com/luminator/45f63ad0-84c3-11f1-b038-392b85f472e9.jpg</t>
  </si>
  <si>
    <t>https://schnell-s3-image.s3.ap-south-1.amazonaws.com/luminator/ed9cc580-81c9-11f1-8c39-db770c65a6e0.jpg</t>
  </si>
  <si>
    <t>https://schnell-s3-image.s3.ap-south-1.amazonaws.com/luminator/58eea0e0-8406-11f1-8593-cf0512cec96d.jpg</t>
  </si>
  <si>
    <t>https://schnell-s3-image.s3.ap-south-1.amazonaws.com/luminator/fa845f80-8280-11f1-aa2c-c1b61490a4f4.jpg</t>
  </si>
  <si>
    <t>https://schnell-s3-image.s3.ap-south-1.amazonaws.com/luminator/79495f20-8414-11f1-9214-071f8469a4b1.jpg</t>
  </si>
  <si>
    <t>https://schnell-s3-image.s3.ap-south-1.amazonaws.com/luminator/d4aa6c50-84e2-11f1-9a18-61ba6dbfec75.jpg</t>
  </si>
  <si>
    <t>https://schnell-s3-image.s3.ap-south-1.amazonaws.com/luminator/4c98b1f0-81c2-11f1-b3f2-b3f3722c600e.jpg</t>
  </si>
  <si>
    <t>https://schnell-s3-image.s3.ap-south-1.amazonaws.com/luminator/cb4377f0-8196-11f1-a9e9-37113cefa5da.jpg</t>
  </si>
  <si>
    <t>https://schnell-s3-image.s3.ap-south-1.amazonaws.com/luminator/8bad5d10-840a-11f1-ba23-51aae61cbb07.jpg</t>
  </si>
  <si>
    <t>https://schnell-s3-image.s3.ap-south-1.amazonaws.com/luminator/424f8080-84f0-11f1-a840-15a1c8f215ef.jpg</t>
  </si>
  <si>
    <t>https://schnell-s3-image.s3.ap-south-1.amazonaws.com/luminator/9faf8200-83fd-11f1-b5f9-898e783c0825.jpg</t>
  </si>
  <si>
    <t>https://schnell-s3-image.s3.ap-south-1.amazonaws.com/luminator/5fbcb730-84bb-11f1-ac4f-1f4fbc673e47.jpg</t>
  </si>
  <si>
    <t>https://schnell-s3-image.s3.ap-south-1.amazonaws.com/luminator/beb8e660-84e2-11f1-9a18-61ba6dbfec75.jpg</t>
  </si>
  <si>
    <t>https://schnell-s3-image.s3.ap-south-1.amazonaws.com/luminator/2bb10180-841b-11f1-9b36-cb9db4d8202f.jpg</t>
  </si>
  <si>
    <t>https://schnell-s3-image.s3.ap-south-1.amazonaws.com/luminator/ac7acd80-84cc-11f1-be0f-1732a115c61f.jpg</t>
  </si>
  <si>
    <t>https://schnell-s3-image.s3.ap-south-1.amazonaws.com/luminator/f8558890-83f4-11f1-84fc-23af879bd1bf.jpg</t>
  </si>
  <si>
    <t>https://schnell-s3-image.s3.ap-south-1.amazonaws.com/luminator/30fa03d0-8272-11f1-ad88-ebdcfdd8f667.jpg</t>
  </si>
  <si>
    <t>https://schnell-s3-image.s3.ap-south-1.amazonaws.com/luminator/f81360c0-81d6-11f1-85dc-8b88c1786555.jpg</t>
  </si>
  <si>
    <t>https://schnell-s3-image.s3.ap-south-1.amazonaws.com/luminator/93b45c10-819f-11f1-8b31-81e0f908bb42.jpg</t>
  </si>
  <si>
    <t>https://schnell-s3-image.s3.ap-south-1.amazonaws.com/luminator/1a37fdb0-85c3-11f1-bf23-75db083f6f82.jpg</t>
  </si>
  <si>
    <t>https://schnell-s3-image.s3.ap-south-1.amazonaws.com/luminator/3b856d40-85b9-11f1-8d50-4d72c62b01ea.jpg</t>
  </si>
  <si>
    <t>https://schnell-s3-image.s3.ap-south-1.amazonaws.com/luminator/38138bf0-85a1-11f1-ab3e-41dad1588b3c.jpg</t>
  </si>
  <si>
    <t>https://schnell-s3-image.s3.ap-south-1.amazonaws.com/luminator/931ea670-85aa-11f1-9a29-3960839a024b.jpg</t>
  </si>
  <si>
    <t>https://schnell-s3-image.s3.ap-south-1.amazonaws.com/luminator/39489510-8597-11f1-a6f3-c56ae01fceeb.jpg</t>
  </si>
  <si>
    <t>https://schnell-s3-image.s3.ap-south-1.amazonaws.com/luminator/20b3e0c0-8585-11f1-97d7-55b9ef1cdbf3.jpg</t>
  </si>
  <si>
    <t>https://schnell-s3-image.s3.ap-south-1.amazonaws.com/luminator/1adbd1e0-858e-11f1-9572-df409fe34325.jpg</t>
  </si>
  <si>
    <t>https://schnell-s3-image.s3.ap-south-1.amazonaws.com/luminator/3b71f2c0-865d-11f1-82d1-5d2ffdb45a94.jpg</t>
  </si>
  <si>
    <t>https://schnell-s3-image.s3.ap-south-1.amazonaws.com/luminator/8b930f60-865c-11f1-8555-d1c0a68a66e0.jpg</t>
  </si>
  <si>
    <t>https://schnell-s3-image.s3.ap-south-1.amazonaws.com/luminator/d51f5cd0-8664-11f1-8555-d1c0a68a66e0.jpg</t>
  </si>
  <si>
    <t>https://schnell-s3-image.s3.ap-south-1.amazonaws.com/luminator/7db7b590-8660-11f1-8555-d1c0a68a66e0.jpg</t>
  </si>
  <si>
    <t>https://schnell-s3-image.s3.ap-south-1.amazonaws.com/luminator/1e1d2810-867c-11f1-a942-d712ba454639.jpg</t>
  </si>
  <si>
    <t>https://schnell-s3-image.s3.ap-south-1.amazonaws.com/luminator/a75fbb30-8684-11f1-b739-c9593fb3fe11.jpg</t>
  </si>
  <si>
    <t>https://schnell-s3-image.s3.ap-south-1.amazonaws.com/luminator/600d9860-8652-11f1-91ef-c1f9ac569bf3.jpg</t>
  </si>
  <si>
    <t>https://schnell-s3-image.s3.ap-south-1.amazonaws.com/luminator/19411620-8669-11f1-b9fb-0141b4d09375.jpg</t>
  </si>
  <si>
    <t>https://schnell-s3-image.s3.ap-south-1.amazonaws.com/luminator/699924a0-8691-11f1-9546-23094cea3287.jpg</t>
  </si>
  <si>
    <t>https://schnell-s3-image.s3.ap-south-1.amazonaws.com/luminator/358424e0-8659-11f1-ba94-6d8535c77dd6.jpg</t>
  </si>
  <si>
    <t>https://schnell-s3-image.s3.ap-south-1.amazonaws.com/luminator/dab30ee0-868b-11f1-b5d9-a792d64a6c8d.jpg</t>
  </si>
  <si>
    <t>https://schnell-s3-image.s3.ap-south-1.amazonaws.com/luminator/2a7f9b50-8669-11f1-b9fb-0141b4d09375.jpg</t>
  </si>
  <si>
    <t>https://schnell-s3-image.s3.ap-south-1.amazonaws.com/luminator/9ac39c30-8809-11f1-8aed-2930d9eba84d.jpg</t>
  </si>
  <si>
    <t>https://schnell-s3-image.s3.ap-south-1.amazonaws.com/luminator/18577a80-880b-11f1-8aed-2930d9eba84d.jpg</t>
  </si>
  <si>
    <t>https://schnell-s3-image.s3.ap-south-1.amazonaws.com/luminator/9947f580-8805-11f1-8aed-2930d9eba84d.jpg</t>
  </si>
  <si>
    <t>https://schnell-s3-image.s3.ap-south-1.amazonaws.com/luminator/537aff60-8810-11f1-8aed-2930d9eba84d.jpg</t>
  </si>
  <si>
    <t>https://schnell-s3-image.s3.ap-south-1.amazonaws.com/luminator/131865f0-8af6-11f1-b4ee-45972b4f76e5.jpg</t>
  </si>
  <si>
    <t>https://schnell-s3-image.s3.ap-south-1.amazonaws.com/luminator/ce3096c0-9463-11f1-b7ae-317db99fc7d1.jpg</t>
  </si>
  <si>
    <t>https://schnell-s3-image.s3.ap-south-1.amazonaws.com/luminator/bd67a410-93d1-11f1-a0e6-d53527e9a29a.jpg</t>
  </si>
  <si>
    <t>https://schnell-s3-image.s3.ap-south-1.amazonaws.com/luminator/572400d0-945e-11f1-b7ae-317db99fc7d1.jpg</t>
  </si>
  <si>
    <t>https://schnell-s3-image.s3.ap-south-1.amazonaws.com/luminator/a4367ce0-9468-11f1-b7ae-317db99fc7d1.jpg</t>
  </si>
  <si>
    <t>https://schnell-s3-image.s3.ap-south-1.amazonaws.com/luminator/fee81a10-93df-11f1-8a90-3d4fc70db1a8.jpg</t>
  </si>
  <si>
    <t>https://schnell-s3-image.s3.ap-south-1.amazonaws.com/luminator/3062aca0-9317-11f1-8bc7-cde1c79c8f3b.jpg</t>
  </si>
  <si>
    <t>https://schnell-s3-image.s3.ap-south-1.amazonaws.com/luminator/05e7e550-9301-11f1-b9ca-0d4bccdb6c33.jpg</t>
  </si>
  <si>
    <t>https://schnell-s3-image.s3.ap-south-1.amazonaws.com/luminator/b03ea5f0-93b7-11f1-a75d-2f6b66700e34.jpg</t>
  </si>
  <si>
    <t>https://schnell-s3-image.s3.ap-south-1.amazonaws.com/luminator/8611b920-92f4-11f1-b619-a9144f22648b.jpg</t>
  </si>
  <si>
    <t>https://schnell-s3-image.s3.ap-south-1.amazonaws.com/luminator/ac7f2210-9c6c-11f1-8a35-5f7bd65df4dd.jpg</t>
  </si>
  <si>
    <t>Existing</t>
  </si>
  <si>
    <t>BESCOM Meter Image Link</t>
  </si>
  <si>
    <t>CCMS Image &amp; Salzer METER 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</si>
</sst>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00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ma\Desktop\Final%20Pole,%20lamp%20,%20SLC%20&amp;%20Commissioning%20Report\FINAL%20REPORT\SLC%20BBMP%20Format%20-%20Mail%20Sent\North\Sarvagna%20Nagar\WARD%2080.xlsx" TargetMode="External"/><Relationship Id="rId1" Type="http://schemas.openxmlformats.org/officeDocument/2006/relationships/externalLinkPath" Target="WARD%208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CCMS Panel ID</v>
          </cell>
          <cell r="C2" t="str">
            <v>Transformer NUMBER</v>
          </cell>
          <cell r="D2" t="str">
            <v>R R Number</v>
          </cell>
          <cell r="E2" t="str">
            <v>BESCOM Meter Sr#</v>
          </cell>
          <cell r="F2" t="str">
            <v>BESCOM Meter Image</v>
          </cell>
        </row>
        <row r="3">
          <cell r="B3" t="str">
            <v>SSC107SM03357</v>
          </cell>
          <cell r="C3" t="str">
            <v>-</v>
          </cell>
          <cell r="D3" t="str">
            <v>SL22</v>
          </cell>
          <cell r="E3" t="str">
            <v>A2307731</v>
          </cell>
          <cell r="F3" t="str">
            <v>https://schnell-s3-image.s3.ap-south-1.amazonaws.com/luminator/cc8c5720-8bbb-11f0-9a2c-db01a3c00c90.jpg</v>
          </cell>
        </row>
        <row r="4">
          <cell r="B4" t="str">
            <v>SSC107SM02271</v>
          </cell>
          <cell r="C4">
            <v>82</v>
          </cell>
          <cell r="D4" t="str">
            <v>5ESL2919</v>
          </cell>
          <cell r="E4" t="str">
            <v>BC0571110</v>
          </cell>
          <cell r="F4" t="str">
            <v>https://schnell-s3-image.s3.ap-south-1.amazonaws.com/luminator/fecab0f0-87a7-11f0-9a98-790b515ad591.jpg</v>
          </cell>
        </row>
        <row r="5">
          <cell r="B5" t="str">
            <v>SSC107SM02276</v>
          </cell>
          <cell r="C5">
            <v>105</v>
          </cell>
          <cell r="D5" t="str">
            <v>5ESL62604</v>
          </cell>
          <cell r="E5" t="str">
            <v>A2307737</v>
          </cell>
          <cell r="F5" t="str">
            <v>https://schnell-s3-image.s3.ap-south-1.amazonaws.com/luminator/cdb2f2a0-8722-11f0-b57f-b5c67c4457e6.jpg</v>
          </cell>
        </row>
        <row r="6">
          <cell r="B6" t="str">
            <v>SSC107SM02330</v>
          </cell>
          <cell r="C6">
            <v>42</v>
          </cell>
          <cell r="D6" t="str">
            <v>5ESL-2910</v>
          </cell>
          <cell r="E6">
            <v>50199754</v>
          </cell>
          <cell r="F6" t="str">
            <v>https://schnell-s3-image.s3.ap-south-1.amazonaws.com/luminator/eb3d54b0-88a2-11f0-8f5e-557988e15410.jpg</v>
          </cell>
        </row>
        <row r="7">
          <cell r="B7" t="str">
            <v>SSC107SM02360</v>
          </cell>
          <cell r="C7">
            <v>62</v>
          </cell>
          <cell r="D7" t="str">
            <v>SL111</v>
          </cell>
          <cell r="E7">
            <v>2922235</v>
          </cell>
          <cell r="F7" t="str">
            <v>https://schnell-s3-image.s3.ap-south-1.amazonaws.com/luminator/5f158ad0-870c-11f0-9d8d-a3fdabbff8cb.jpg</v>
          </cell>
        </row>
        <row r="8">
          <cell r="B8" t="str">
            <v>SSC107SM02840</v>
          </cell>
          <cell r="C8">
            <v>9</v>
          </cell>
          <cell r="D8" t="str">
            <v>SL33</v>
          </cell>
          <cell r="E8" t="str">
            <v>BC117159</v>
          </cell>
          <cell r="F8" t="str">
            <v>https://schnell-s3-image.s3.ap-south-1.amazonaws.com/luminator/e86c2df0-888f-11f0-8b3c-1ffe7b06b20b.jpg</v>
          </cell>
        </row>
        <row r="9">
          <cell r="B9" t="str">
            <v>SSC107SM02950</v>
          </cell>
          <cell r="C9">
            <v>207</v>
          </cell>
          <cell r="D9" t="str">
            <v>SL45</v>
          </cell>
          <cell r="E9" t="str">
            <v>A2307728</v>
          </cell>
          <cell r="F9" t="str">
            <v>https://schnell-s3-image.s3.ap-south-1.amazonaws.com/luminator/94689eb0-87da-11f0-866d-1d1cf3367a5b.jpg</v>
          </cell>
        </row>
        <row r="10">
          <cell r="B10" t="str">
            <v>SSC107SM02972</v>
          </cell>
          <cell r="C10">
            <v>605</v>
          </cell>
          <cell r="D10" t="str">
            <v>E5LRS109</v>
          </cell>
          <cell r="E10">
            <v>502401313</v>
          </cell>
          <cell r="F10" t="str">
            <v>https://schnell-s3-image.s3.ap-south-1.amazonaws.com/luminator/c170ee90-8707-11f0-9bda-ad56a80b276c.jpg</v>
          </cell>
        </row>
        <row r="11">
          <cell r="B11" t="str">
            <v>SSC107SM02976</v>
          </cell>
          <cell r="C11">
            <v>266</v>
          </cell>
          <cell r="D11" t="str">
            <v>SL-30</v>
          </cell>
          <cell r="E11">
            <v>50255344</v>
          </cell>
          <cell r="F11" t="str">
            <v>https://schnell-s3-image.s3.ap-south-1.amazonaws.com/luminator/b3fb78f0-86ff-11f0-ae48-85037efca68c.jpg</v>
          </cell>
        </row>
        <row r="12">
          <cell r="B12" t="str">
            <v>SSC107SM02985</v>
          </cell>
          <cell r="C12">
            <v>55</v>
          </cell>
          <cell r="D12" t="str">
            <v>SL47</v>
          </cell>
          <cell r="E12">
            <v>2926386</v>
          </cell>
          <cell r="F12" t="str">
            <v>https://schnell-s3-image.s3.ap-south-1.amazonaws.com/luminator/66334c20-87df-11f0-866d-1d1cf3367a5b.jpg</v>
          </cell>
        </row>
        <row r="13">
          <cell r="B13" t="str">
            <v>SSC107SM02988</v>
          </cell>
          <cell r="C13">
            <v>55</v>
          </cell>
          <cell r="D13" t="str">
            <v>5ESL2895</v>
          </cell>
          <cell r="E13">
            <v>52933748</v>
          </cell>
          <cell r="F13" t="str">
            <v>https://schnell-s3-image.s3.ap-south-1.amazonaws.com/luminator/8d741e60-abf5-11f0-8a06-593b99ef8829.jpg</v>
          </cell>
        </row>
        <row r="14">
          <cell r="B14" t="str">
            <v>SSC107SM02990</v>
          </cell>
          <cell r="C14" t="str">
            <v>-</v>
          </cell>
          <cell r="D14">
            <v>42</v>
          </cell>
          <cell r="E14">
            <v>50307410</v>
          </cell>
          <cell r="F14" t="str">
            <v>https://schnell-s3-image.s3.ap-south-1.amazonaws.com/luminator/ee87caf0-8885-11f0-82cb-c3dea1dcedbe.jpg</v>
          </cell>
        </row>
        <row r="15">
          <cell r="B15" t="str">
            <v>SSC107SM02991</v>
          </cell>
          <cell r="C15" t="str">
            <v>-</v>
          </cell>
          <cell r="D15" t="str">
            <v>SL-31</v>
          </cell>
          <cell r="E15">
            <v>442128722</v>
          </cell>
          <cell r="F15" t="str">
            <v>https://schnell-s3-image.s3.ap-south-1.amazonaws.com/luminator/2a1fd1d0-88b2-11f0-8d8b-9bc86d6a7cc6.jpg</v>
          </cell>
        </row>
        <row r="16">
          <cell r="B16" t="str">
            <v>SSC107SM02992</v>
          </cell>
          <cell r="C16">
            <v>16</v>
          </cell>
          <cell r="D16" t="str">
            <v>SL-43</v>
          </cell>
          <cell r="E16">
            <v>42509615</v>
          </cell>
          <cell r="F16" t="str">
            <v>https://schnell-s3-image.s3.ap-south-1.amazonaws.com/luminator/d26cc560-87cb-11f0-b46f-178dd9716d26.jpg</v>
          </cell>
        </row>
        <row r="17">
          <cell r="B17" t="str">
            <v>SSC107SM02993</v>
          </cell>
          <cell r="C17">
            <v>28</v>
          </cell>
          <cell r="D17" t="str">
            <v>5SL-118</v>
          </cell>
          <cell r="E17">
            <v>476433</v>
          </cell>
          <cell r="F17" t="str">
            <v>https://schnell-s3-image.s3.ap-south-1.amazonaws.com/luminator/1017d7f0-8a20-11f0-b328-91c58020a09c.jpg</v>
          </cell>
        </row>
        <row r="18">
          <cell r="B18" t="str">
            <v>SSC107SM03000</v>
          </cell>
          <cell r="C18" t="str">
            <v>-</v>
          </cell>
          <cell r="D18" t="str">
            <v>SL34</v>
          </cell>
          <cell r="E18" t="str">
            <v>A2307730</v>
          </cell>
          <cell r="F18" t="str">
            <v>https://schnell-s3-image.s3.ap-south-1.amazonaws.com/luminator/f5839850-8887-11f0-82cb-c3dea1dcedbe.jpg</v>
          </cell>
        </row>
        <row r="19">
          <cell r="B19" t="str">
            <v>SSC107SM03001</v>
          </cell>
          <cell r="C19">
            <v>68</v>
          </cell>
          <cell r="D19" t="str">
            <v>SL35</v>
          </cell>
          <cell r="E19" t="str">
            <v>A2307736</v>
          </cell>
          <cell r="F19" t="str">
            <v>https://schnell-s3-image.s3.ap-south-1.amazonaws.com/luminator/a7d39d90-889a-11f0-82e5-ff5bb50178d9.jpg</v>
          </cell>
        </row>
        <row r="20">
          <cell r="B20" t="str">
            <v>SSC107SM03010</v>
          </cell>
          <cell r="C20">
            <v>392</v>
          </cell>
          <cell r="D20" t="str">
            <v>5ESL2908</v>
          </cell>
          <cell r="E20">
            <v>50765760</v>
          </cell>
          <cell r="F20" t="str">
            <v>https://schnell-s3-image.s3.ap-south-1.amazonaws.com/luminator/a2eb7960-87a5-11f0-9a98-790b515ad591.jpg</v>
          </cell>
        </row>
        <row r="21">
          <cell r="B21" t="str">
            <v>SSC107SM03014</v>
          </cell>
          <cell r="C21">
            <v>106</v>
          </cell>
          <cell r="D21" t="str">
            <v>SL37</v>
          </cell>
          <cell r="E21" t="str">
            <v>A2307721</v>
          </cell>
          <cell r="F21" t="str">
            <v>https://schnell-s3-image.s3.ap-south-1.amazonaws.com/luminator/ef3e8090-87b0-11f0-993a-95a5a1f4a54c.jpg</v>
          </cell>
        </row>
        <row r="22">
          <cell r="B22" t="str">
            <v>SSC107SM03016</v>
          </cell>
          <cell r="C22">
            <v>60</v>
          </cell>
          <cell r="D22" t="str">
            <v>13L-46</v>
          </cell>
          <cell r="E22" t="str">
            <v>A2307740</v>
          </cell>
          <cell r="F22" t="str">
            <v>https://schnell-s3-image.s3.ap-south-1.amazonaws.com/luminator/706f2720-87d2-11f0-a2a5-f50c5cca1c32.jpg</v>
          </cell>
        </row>
        <row r="23">
          <cell r="B23" t="str">
            <v>SSC107SM03022</v>
          </cell>
          <cell r="C23" t="str">
            <v>-</v>
          </cell>
          <cell r="D23" t="str">
            <v>C34638</v>
          </cell>
          <cell r="E23">
            <v>41946691</v>
          </cell>
          <cell r="F23" t="str">
            <v>https://schnell-s3-image.s3.ap-south-1.amazonaws.com/luminator/15a6e830-87ac-11f0-9a98-790b515ad591.jpg</v>
          </cell>
        </row>
        <row r="24">
          <cell r="B24" t="str">
            <v>SSC107SM03024</v>
          </cell>
          <cell r="C24">
            <v>61</v>
          </cell>
          <cell r="D24" t="str">
            <v>SL-40</v>
          </cell>
          <cell r="E24" t="str">
            <v>A2307722</v>
          </cell>
          <cell r="F24" t="str">
            <v>https://schnell-s3-image.s3.ap-south-1.amazonaws.com/luminator/b3fb78f0-86ff-11f0-ae48-85037efca68c.jpg</v>
          </cell>
        </row>
        <row r="25">
          <cell r="B25" t="str">
            <v>SSC107SM03028</v>
          </cell>
          <cell r="C25">
            <v>188</v>
          </cell>
          <cell r="D25" t="str">
            <v>E5LRSL4524</v>
          </cell>
          <cell r="E25">
            <v>41926540</v>
          </cell>
          <cell r="F25" t="str">
            <v>https://schnell-s3-image.s3.ap-south-1.amazonaws.com/luminator/b3fb78f0-86ff-11f0-ae48-85037efca68c.jpg</v>
          </cell>
        </row>
        <row r="26">
          <cell r="B26" t="str">
            <v>SSC107SM03034</v>
          </cell>
          <cell r="C26">
            <v>84</v>
          </cell>
          <cell r="D26" t="str">
            <v>SL-77</v>
          </cell>
          <cell r="E26" t="str">
            <v>A2308542</v>
          </cell>
          <cell r="F26" t="str">
            <v>https://schnell-s3-image.s3.ap-south-1.amazonaws.com/luminator/062183f0-8718-11f0-9172-f183e2330bd2.jpg</v>
          </cell>
        </row>
        <row r="27">
          <cell r="B27" t="str">
            <v>SSC107SM03044</v>
          </cell>
          <cell r="C27">
            <v>72</v>
          </cell>
          <cell r="D27" t="str">
            <v>5ESL58514</v>
          </cell>
          <cell r="E27">
            <v>50471700</v>
          </cell>
          <cell r="F27" t="str">
            <v>https://schnell-s3-image.s3.ap-south-1.amazonaws.com/luminator/c01a3e50-87ae-11f0-993a-95a5a1f4a54c.jpg</v>
          </cell>
        </row>
        <row r="28">
          <cell r="B28" t="str">
            <v>SSC107SM03047</v>
          </cell>
          <cell r="C28">
            <v>81</v>
          </cell>
          <cell r="D28" t="str">
            <v>SL-29</v>
          </cell>
          <cell r="E28" t="str">
            <v>BC1165599</v>
          </cell>
          <cell r="F28" t="str">
            <v>https://schnell-s3-image.s3.ap-south-1.amazonaws.com/luminator/5bab2af0-8962-11f0-9dde-5f33658a742d.jpg</v>
          </cell>
        </row>
        <row r="29">
          <cell r="B29" t="str">
            <v>SSC107SM03059</v>
          </cell>
          <cell r="C29">
            <v>106</v>
          </cell>
          <cell r="D29" t="str">
            <v>SL36</v>
          </cell>
          <cell r="E29" t="str">
            <v>A2307724</v>
          </cell>
          <cell r="F29" t="str">
            <v>https://schnell-s3-image.s3.ap-south-1.amazonaws.com/luminator/236c1990-87b6-11f0-8b18-81df4d4b5f14.jpg</v>
          </cell>
        </row>
        <row r="30">
          <cell r="B30" t="str">
            <v>SSC107SM03061</v>
          </cell>
          <cell r="C30" t="str">
            <v>-</v>
          </cell>
          <cell r="D30" t="str">
            <v>SE0L940493</v>
          </cell>
          <cell r="E30">
            <v>41951778</v>
          </cell>
          <cell r="F30" t="str">
            <v>https://schnell-s3-image.s3.ap-south-1.amazonaws.com/luminator/ade8c330-8896-11f0-89bc-f3fed757d0e9.jpg</v>
          </cell>
        </row>
        <row r="31">
          <cell r="B31" t="str">
            <v>SSC107SM03075</v>
          </cell>
          <cell r="C31">
            <v>115</v>
          </cell>
          <cell r="D31" t="str">
            <v>5ESL-58510</v>
          </cell>
          <cell r="E31" t="str">
            <v>BC1475717</v>
          </cell>
          <cell r="F31" t="str">
            <v>https://schnell-s3-image.s3.ap-south-1.amazonaws.com/luminator/5ee68760-8984-11f0-8f69-07d99c57aac0.jpg</v>
          </cell>
        </row>
        <row r="32">
          <cell r="B32" t="str">
            <v>SSC107SM03080</v>
          </cell>
          <cell r="C32">
            <v>183</v>
          </cell>
          <cell r="D32" t="str">
            <v>SL44</v>
          </cell>
          <cell r="E32">
            <v>2926209</v>
          </cell>
          <cell r="F32" t="str">
            <v>https://schnell-s3-image.s3.ap-south-1.amazonaws.com/luminator/411ac430-8880-11f0-954c-8d0843525254.jpg</v>
          </cell>
        </row>
        <row r="33">
          <cell r="B33" t="str">
            <v>SSC107SM03081</v>
          </cell>
          <cell r="C33">
            <v>24</v>
          </cell>
          <cell r="D33" t="str">
            <v>ESLRSL-32</v>
          </cell>
          <cell r="E33" t="str">
            <v>BC0242273</v>
          </cell>
          <cell r="F33" t="str">
            <v>https://schnell-s3-image.s3.ap-south-1.amazonaws.com/luminator/85be43c0-889c-11f0-82e5-ff5bb50178d9.jpg</v>
          </cell>
        </row>
        <row r="34">
          <cell r="B34" t="str">
            <v>SSC107SM03140</v>
          </cell>
          <cell r="C34">
            <v>51</v>
          </cell>
          <cell r="D34" t="str">
            <v>5ESL2899</v>
          </cell>
          <cell r="E34">
            <v>50255342</v>
          </cell>
          <cell r="F34" t="str">
            <v>https://schnell-s3-image.s3.ap-south-1.amazonaws.com/luminator/94081d10-87b7-11f0-8b18-81df4d4b5f14.jpg</v>
          </cell>
        </row>
        <row r="35">
          <cell r="B35" t="str">
            <v>SSC107SM03145</v>
          </cell>
          <cell r="C35">
            <v>75</v>
          </cell>
          <cell r="D35" t="str">
            <v>SL-42190</v>
          </cell>
          <cell r="E35" t="str">
            <v>BC0513271</v>
          </cell>
          <cell r="F35" t="str">
            <v>https://schnell-s3-image.s3.ap-south-1.amazonaws.com/luminator/c415d1b0-8879-11f0-bc53-81e64102e94c.jpg</v>
          </cell>
        </row>
        <row r="36">
          <cell r="B36" t="str">
            <v>SSC107SM03510</v>
          </cell>
          <cell r="C36">
            <v>105</v>
          </cell>
          <cell r="D36" t="str">
            <v>E5LRS174</v>
          </cell>
          <cell r="E36">
            <v>41718790</v>
          </cell>
          <cell r="F36" t="str">
            <v>https://schnell-s3-image.s3.ap-south-1.amazonaws.com/luminator/b6533e10-871f-11f0-b57f-b5c67c4457e6.jpg</v>
          </cell>
        </row>
        <row r="37">
          <cell r="B37" t="str">
            <v>SSC107SM03599</v>
          </cell>
          <cell r="C37">
            <v>152</v>
          </cell>
          <cell r="D37" t="str">
            <v>SL78</v>
          </cell>
          <cell r="E37">
            <v>50084449</v>
          </cell>
          <cell r="F37" t="str">
            <v>https://schnell-s3-image.s3.ap-south-1.amazonaws.com/luminator/e9fb1c60-8710-11f0-9d8d-a3fdabbff8cb.jpg</v>
          </cell>
        </row>
        <row r="38">
          <cell r="B38" t="str">
            <v>SSC107SM03821</v>
          </cell>
          <cell r="C38">
            <v>176</v>
          </cell>
          <cell r="D38" t="str">
            <v>5ESL-2879</v>
          </cell>
          <cell r="E38">
            <v>50773195</v>
          </cell>
          <cell r="F38" t="str">
            <v>https://schnell-s3-image.s3.ap-south-1.amazonaws.com/luminator/4168f400-8a1c-11f0-a387-01526feb4ed8.jpg</v>
          </cell>
        </row>
        <row r="39">
          <cell r="B39" t="str">
            <v>SSC107SM03879</v>
          </cell>
          <cell r="C39">
            <v>63</v>
          </cell>
          <cell r="D39" t="str">
            <v>SL23</v>
          </cell>
          <cell r="E39" t="str">
            <v>-</v>
          </cell>
          <cell r="F39" t="str">
            <v>https://schnell-s3-image.s3.ap-south-1.amazonaws.com/luminator/8fb8a580-8e0c-11f0-b87f-73f962479b75.jpg</v>
          </cell>
        </row>
        <row r="40">
          <cell r="B40" t="str">
            <v>SSC107SM03900</v>
          </cell>
          <cell r="C40" t="str">
            <v>-</v>
          </cell>
          <cell r="D40" t="str">
            <v>SL25</v>
          </cell>
          <cell r="E40" t="str">
            <v>A2307726</v>
          </cell>
          <cell r="F40" t="str">
            <v>https://schnell-s3-image.s3.ap-south-1.amazonaws.com/luminator/8fb8a580-8e0c-11f0-b87f-73f962479b75.jpg</v>
          </cell>
        </row>
        <row r="41">
          <cell r="B41" t="str">
            <v>SSC107SM03916</v>
          </cell>
          <cell r="C41">
            <v>22</v>
          </cell>
          <cell r="D41">
            <v>26</v>
          </cell>
          <cell r="E41">
            <v>22231749</v>
          </cell>
          <cell r="F41" t="str">
            <v>https://schnell-s3-image.s3.ap-south-1.amazonaws.com/luminator/b85606f0-8a14-11f0-ab17-7f00e1430299.jpg</v>
          </cell>
        </row>
        <row r="42">
          <cell r="B42" t="str">
            <v>SSC107SM03930</v>
          </cell>
          <cell r="C42">
            <v>23</v>
          </cell>
          <cell r="D42" t="str">
            <v>5ESC-2912</v>
          </cell>
          <cell r="E42" t="str">
            <v>BC0333989</v>
          </cell>
          <cell r="F42" t="str">
            <v>https://schnell-s3-image.s3.ap-south-1.amazonaws.com/luminator/b85606f0-8a14-11f0-ab17-7f00e1430299.jpg</v>
          </cell>
        </row>
        <row r="43">
          <cell r="B43" t="str">
            <v>SSC107SM04046</v>
          </cell>
          <cell r="C43">
            <v>23</v>
          </cell>
          <cell r="D43" t="str">
            <v>ESLRSL-27</v>
          </cell>
          <cell r="E43" t="str">
            <v>BC0487287</v>
          </cell>
          <cell r="F43" t="str">
            <v>https://schnell-s3-image.s3.ap-south-1.amazonaws.com/luminator/9e247550-896f-11f0-80e0-313b26e07021.jpg</v>
          </cell>
        </row>
        <row r="44">
          <cell r="B44" t="str">
            <v>SSC107SM04126</v>
          </cell>
          <cell r="C44">
            <v>176</v>
          </cell>
          <cell r="D44" t="str">
            <v>5ESL-58502</v>
          </cell>
          <cell r="E44" t="str">
            <v>C0082289</v>
          </cell>
          <cell r="F44" t="str">
            <v>https://schnell-s3-image.s3.ap-south-1.amazonaws.com/luminator/b3fb78f0-86ff-11f0-ae48-85037efca68c.jpg</v>
          </cell>
        </row>
        <row r="45">
          <cell r="B45" t="str">
            <v>SSC107SM03003</v>
          </cell>
          <cell r="C45">
            <v>237</v>
          </cell>
          <cell r="D45" t="str">
            <v>SL-39</v>
          </cell>
          <cell r="E45" t="str">
            <v>A2307738</v>
          </cell>
          <cell r="F45" t="str">
            <v>https://schnell-s3-image.s3.ap-south-1.amazonaws.com/luminator/7a106de0-8988-11f0-93e8-8f05b8376ce8.jpg</v>
          </cell>
        </row>
        <row r="46">
          <cell r="B46" t="str">
            <v>SSC107SM03662</v>
          </cell>
          <cell r="C46" t="str">
            <v>-</v>
          </cell>
          <cell r="D46" t="str">
            <v>8ESTL186</v>
          </cell>
          <cell r="E46">
            <v>2923807</v>
          </cell>
          <cell r="F46" t="str">
            <v>https://schnell-s3-image.s3.ap-south-1.amazonaws.com/luminator/6239c720-8e10-11f0-b87f-73f962479b75.jpg</v>
          </cell>
        </row>
        <row r="47">
          <cell r="B47" t="str">
            <v>SSC107SM03679</v>
          </cell>
          <cell r="C47" t="str">
            <v>-</v>
          </cell>
          <cell r="D47" t="str">
            <v>8ESTL187</v>
          </cell>
          <cell r="E47">
            <v>2927108</v>
          </cell>
          <cell r="F47" t="str">
            <v>https://schnell-s3-image.s3.ap-south-1.amazonaws.com/luminator/81963c50-8e2b-11f0-a4c3-99a6d3af43d9.jpg</v>
          </cell>
        </row>
        <row r="48">
          <cell r="B48" t="str">
            <v>SSC107SM03698</v>
          </cell>
          <cell r="C48" t="str">
            <v>-</v>
          </cell>
          <cell r="D48" t="str">
            <v>-</v>
          </cell>
          <cell r="E48" t="str">
            <v>BD0858233</v>
          </cell>
          <cell r="F48" t="str">
            <v>https://schnell-s3-image.s3.ap-south-1.amazonaws.com/luminator/1d7fffb0-8aef-11f0-b4f9-0b246e74e6cd.jpg</v>
          </cell>
        </row>
        <row r="49">
          <cell r="B49" t="str">
            <v>SSC107SM03738</v>
          </cell>
          <cell r="C49">
            <v>47</v>
          </cell>
          <cell r="D49" t="str">
            <v>5EEH41257</v>
          </cell>
          <cell r="E49" t="str">
            <v>BC1316817</v>
          </cell>
          <cell r="F49" t="str">
            <v>https://schnell-s3-image.s3.ap-south-1.amazonaws.com/luminator/66ccb8f0-897f-11f0-927b-d16b74ddd9bc.jpg</v>
          </cell>
        </row>
        <row r="50">
          <cell r="B50" t="str">
            <v>SSC107SM03909</v>
          </cell>
          <cell r="C50">
            <v>47</v>
          </cell>
          <cell r="D50" t="str">
            <v>SL40</v>
          </cell>
          <cell r="E50" t="str">
            <v>A2307723</v>
          </cell>
          <cell r="F50" t="str">
            <v>https://schnell-s3-image.s3.ap-south-1.amazonaws.com/luminator/e3719cc0-8a17-11f0-be6e-3500eeb65494.jpg</v>
          </cell>
        </row>
        <row r="51">
          <cell r="B51" t="str">
            <v>SSC107SM03913</v>
          </cell>
          <cell r="C51">
            <v>25</v>
          </cell>
          <cell r="D51" t="str">
            <v>SL-38</v>
          </cell>
          <cell r="E51" t="str">
            <v>A2307739</v>
          </cell>
          <cell r="F51" t="str">
            <v>https://schnell-s3-image.s3.ap-south-1.amazonaws.com/luminator/c2767ba0-8a10-11f0-b96e-93183fb91bcf.jpg</v>
          </cell>
        </row>
        <row r="52">
          <cell r="B52" t="str">
            <v>SSC107SM03977</v>
          </cell>
          <cell r="C52">
            <v>28</v>
          </cell>
          <cell r="D52" t="str">
            <v>MR-153R2</v>
          </cell>
          <cell r="E52">
            <v>41928198</v>
          </cell>
          <cell r="F52" t="str">
            <v>https://schnell-s3-image.s3.ap-south-1.amazonaws.com/luminator/16de20f0-8a23-11f0-8887-cd0db0e8079e.jpg</v>
          </cell>
        </row>
        <row r="53">
          <cell r="B53" t="str">
            <v>SSC107SM03994</v>
          </cell>
          <cell r="C53" t="str">
            <v>-</v>
          </cell>
          <cell r="D53" t="str">
            <v>5ESL2914</v>
          </cell>
          <cell r="E53" t="str">
            <v>BC0665499</v>
          </cell>
          <cell r="F53" t="str">
            <v>https://schnell-s3-image.s3.ap-south-1.amazonaws.com/luminator/f85eccc0-8bb1-11f0-be2c-fd1087b4afc4.jpg</v>
          </cell>
        </row>
        <row r="54">
          <cell r="B54" t="str">
            <v>SSC107SM04036</v>
          </cell>
          <cell r="C54">
            <v>25</v>
          </cell>
          <cell r="D54" t="str">
            <v>5ESL2911</v>
          </cell>
          <cell r="E54">
            <v>41926793</v>
          </cell>
          <cell r="F54" t="str">
            <v>https://schnell-s3-image.s3.ap-south-1.amazonaws.com/luminator/b4dc8b50-898a-11f0-b56c-17574073311e.jpg</v>
          </cell>
        </row>
        <row r="55">
          <cell r="B55" t="str">
            <v>SSC107SM04040</v>
          </cell>
          <cell r="C55">
            <v>44</v>
          </cell>
          <cell r="D55" t="str">
            <v>SL17</v>
          </cell>
          <cell r="E55">
            <v>41927214</v>
          </cell>
          <cell r="F55" t="str">
            <v>https://schnell-s3-image.s3.ap-south-1.amazonaws.com/luminator/ade8c330-8896-11f0-89bc-f3fed757d0e9.jpg</v>
          </cell>
        </row>
        <row r="56">
          <cell r="B56" t="str">
            <v>SSC107SM04041</v>
          </cell>
          <cell r="C56">
            <v>28</v>
          </cell>
          <cell r="D56" t="str">
            <v>CTS-751215</v>
          </cell>
          <cell r="E56">
            <v>41933284</v>
          </cell>
          <cell r="F56" t="str">
            <v>https://schnell-s3-image.s3.ap-south-1.amazonaws.com/luminator/d4329670-7219-11f1-97a4-17fcb201abfa.jpg</v>
          </cell>
        </row>
        <row r="57">
          <cell r="B57" t="str">
            <v>SSC107SM04136</v>
          </cell>
          <cell r="C57" t="str">
            <v>-</v>
          </cell>
          <cell r="D57" t="str">
            <v>8ESTL2896</v>
          </cell>
          <cell r="E57" t="str">
            <v>BD0393518</v>
          </cell>
          <cell r="F57" t="str">
            <v>https://schnell-s3-image.s3.ap-south-1.amazonaws.com/luminator/5b33fe20-8bde-11f0-97b4-3fe5976fed08.jpg</v>
          </cell>
        </row>
        <row r="58">
          <cell r="B58" t="str">
            <v>SSC107SM04217</v>
          </cell>
          <cell r="C58" t="str">
            <v>-</v>
          </cell>
          <cell r="D58" t="str">
            <v>SL48</v>
          </cell>
          <cell r="E58" t="str">
            <v>K2-251451</v>
          </cell>
          <cell r="F58" t="str">
            <v>https://schnell-s3-image.s3.ap-south-1.amazonaws.com/luminator/e7907cd0-abe2-11f0-afee-8711a4ef8f2f.jpg</v>
          </cell>
        </row>
        <row r="59">
          <cell r="B59" t="str">
            <v>SSC107SM04302</v>
          </cell>
          <cell r="C59" t="str">
            <v>-</v>
          </cell>
          <cell r="D59" t="str">
            <v>5ESTL59536</v>
          </cell>
          <cell r="E59">
            <v>469170</v>
          </cell>
          <cell r="F59" t="str">
            <v>https://schnell-s3-image.s3.ap-south-1.amazonaws.com/luminator/b50c78e0-8c93-11f0-942c-49c4ce61d7fe.jpg</v>
          </cell>
        </row>
        <row r="60">
          <cell r="B60" t="str">
            <v>SSC107SM04309</v>
          </cell>
          <cell r="C60">
            <v>55</v>
          </cell>
          <cell r="D60" t="str">
            <v>5ESTL59530</v>
          </cell>
          <cell r="E60">
            <v>50109106</v>
          </cell>
          <cell r="F60" t="str">
            <v>https://schnell-s3-image.s3.ap-south-1.amazonaws.com/luminator/8d741e60-abf5-11f0-8a06-593b99ef8829.jpg</v>
          </cell>
        </row>
        <row r="61">
          <cell r="B61" t="str">
            <v>SSC107SM04474</v>
          </cell>
          <cell r="C61">
            <v>79</v>
          </cell>
          <cell r="D61" t="str">
            <v>-</v>
          </cell>
          <cell r="E61" t="str">
            <v>A2308556</v>
          </cell>
          <cell r="F61" t="str">
            <v>https://schnell-s3-image.s3.ap-south-1.amazonaws.com/luminator/ebdc84f0-ac0f-11f0-b8b0-f1ac76572e6b.jpg</v>
          </cell>
        </row>
        <row r="62">
          <cell r="B62" t="str">
            <v>SSC107SM04751</v>
          </cell>
          <cell r="C62">
            <v>87</v>
          </cell>
          <cell r="D62" t="str">
            <v>BESL42189</v>
          </cell>
          <cell r="E62">
            <v>50887233</v>
          </cell>
          <cell r="F62" t="str">
            <v>https://schnell-s3-image.s3.ap-south-1.amazonaws.com/luminator/b3fb78f0-86ff-11f0-ae48-85037efca68c.jpg</v>
          </cell>
        </row>
        <row r="63">
          <cell r="B63" t="str">
            <v>SSC107SM04753</v>
          </cell>
          <cell r="C63" t="str">
            <v>-</v>
          </cell>
          <cell r="D63">
            <v>19067</v>
          </cell>
          <cell r="E63">
            <v>531239</v>
          </cell>
          <cell r="F63" t="str">
            <v>https://schnell-s3-image.s3.ap-south-1.amazonaws.com/luminator/d4329670-7219-11f1-97a4-17fcb201abfa.jpg</v>
          </cell>
        </row>
        <row r="64">
          <cell r="B64" t="str">
            <v>SSC107SM04764</v>
          </cell>
          <cell r="C64">
            <v>83</v>
          </cell>
          <cell r="D64" t="str">
            <v>5ESTL4592</v>
          </cell>
          <cell r="E64" t="str">
            <v>BC142816</v>
          </cell>
          <cell r="F64" t="str">
            <v>https://schnell-s3-image.s3.ap-south-1.amazonaws.com/luminator/0aa1ebb0-8978-11f0-b7c0-2f7da7a2ce06.jpg</v>
          </cell>
        </row>
        <row r="65">
          <cell r="B65" t="str">
            <v>SSC107SM04793</v>
          </cell>
          <cell r="C65" t="str">
            <v>-</v>
          </cell>
          <cell r="D65" t="str">
            <v>-</v>
          </cell>
          <cell r="E65" t="str">
            <v>C0193412</v>
          </cell>
          <cell r="F65" t="str">
            <v>https://schnell-s3-image.s3.ap-south-1.amazonaws.com/luminator/f85eccc0-8bb1-11f0-be2c-fd1087b4afc4.jpg</v>
          </cell>
        </row>
        <row r="66">
          <cell r="B66" t="str">
            <v>SSC107SM05086</v>
          </cell>
          <cell r="C66" t="str">
            <v>-</v>
          </cell>
          <cell r="D66" t="str">
            <v>SESL59532</v>
          </cell>
          <cell r="E66" t="str">
            <v>BC1060471</v>
          </cell>
          <cell r="F66" t="str">
            <v>https://schnell-s3-image.s3.ap-south-1.amazonaws.com/luminator/27a52f70-8bd4-11f0-b72f-b92dad359ae8.jpg</v>
          </cell>
        </row>
        <row r="67">
          <cell r="B67" t="str">
            <v>SSC107SM05143</v>
          </cell>
          <cell r="C67">
            <v>174</v>
          </cell>
          <cell r="D67" t="str">
            <v>-</v>
          </cell>
          <cell r="E67" t="str">
            <v>C765273</v>
          </cell>
          <cell r="F67" t="str">
            <v>https://schnell-s3-image.s3.ap-south-1.amazonaws.com/luminator/81963c50-8e2b-11f0-a4c3-99a6d3af43d9.jpg</v>
          </cell>
        </row>
        <row r="68">
          <cell r="B68" t="str">
            <v>SSC107SM05170</v>
          </cell>
          <cell r="C68" t="str">
            <v>-</v>
          </cell>
          <cell r="D68" t="str">
            <v>SL2850</v>
          </cell>
          <cell r="E68" t="str">
            <v>BC215202</v>
          </cell>
          <cell r="F68" t="str">
            <v>https://schnell-s3-image.s3.ap-south-1.amazonaws.com/luminator/81963c50-8e2b-11f0-a4c3-99a6d3af43d9.jpg</v>
          </cell>
        </row>
        <row r="69">
          <cell r="B69" t="str">
            <v>SSC107SM05175</v>
          </cell>
          <cell r="C69" t="str">
            <v>-</v>
          </cell>
          <cell r="D69" t="str">
            <v>-</v>
          </cell>
          <cell r="E69">
            <v>2924499</v>
          </cell>
          <cell r="F69" t="str">
            <v>https://schnell-s3-image.s3.ap-south-1.amazonaws.com/luminator/18682f50-8e34-11f0-a4c3-99a6d3af43d9.jpg</v>
          </cell>
        </row>
        <row r="70">
          <cell r="B70" t="str">
            <v>SSC107SM05178</v>
          </cell>
          <cell r="C70" t="str">
            <v>-</v>
          </cell>
          <cell r="D70" t="str">
            <v>SL2853</v>
          </cell>
          <cell r="E70" t="str">
            <v>BC2244009</v>
          </cell>
          <cell r="F70" t="str">
            <v>https://schnell-s3-image.s3.ap-south-1.amazonaws.com/luminator/0b611290-87ef-11f0-8589-df07194f6f8d.jpg</v>
          </cell>
        </row>
        <row r="71">
          <cell r="B71" t="str">
            <v>SSC107SM04925</v>
          </cell>
          <cell r="C71" t="str">
            <v>-</v>
          </cell>
          <cell r="D71" t="str">
            <v>ESLRSL-50</v>
          </cell>
          <cell r="E71" t="str">
            <v>BC0925587</v>
          </cell>
          <cell r="F71" t="str">
            <v>https://schnell-s3-image.s3.ap-south-1.amazonaws.com/luminator/b50c78e0-8c93-11f0-942c-49c4ce61d7fe.jpg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E5FD-76AA-4B29-B27C-2EBE5F26E147}">
  <dimension ref="A1:AA71"/>
  <sheetViews>
    <sheetView tabSelected="1" topLeftCell="A47" workbookViewId="0">
      <selection activeCell="U71" sqref="U71"/>
    </sheetView>
  </sheetViews>
  <sheetFormatPr defaultRowHeight="14.4" x14ac:dyDescent="0.3"/>
  <cols>
    <col min="3" max="3" width="0" hidden="1" customWidth="1"/>
    <col min="4" max="4" width="10.77734375" bestFit="1" customWidth="1"/>
    <col min="5" max="5" width="10.109375" bestFit="1" customWidth="1"/>
    <col min="6" max="6" width="0" hidden="1" customWidth="1"/>
    <col min="7" max="7" width="14.5546875" hidden="1" customWidth="1"/>
    <col min="8" max="8" width="14.5546875" customWidth="1"/>
    <col min="9" max="9" width="13.21875" customWidth="1"/>
    <col min="11" max="11" width="15.109375" bestFit="1" customWidth="1"/>
    <col min="12" max="12" width="12" hidden="1" customWidth="1"/>
    <col min="13" max="13" width="12" customWidth="1"/>
    <col min="17" max="17" width="11" bestFit="1" customWidth="1"/>
  </cols>
  <sheetData>
    <row r="1" spans="1:27" x14ac:dyDescent="0.3">
      <c r="A1" s="9" t="s">
        <v>0</v>
      </c>
      <c r="B1" s="9"/>
      <c r="C1" s="9"/>
      <c r="D1" s="9"/>
      <c r="E1" s="9"/>
      <c r="F1" s="9"/>
      <c r="G1" s="9"/>
      <c r="H1" s="5"/>
      <c r="I1" s="9" t="s">
        <v>1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43.2" x14ac:dyDescent="0.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401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402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</row>
    <row r="3" spans="1:27" x14ac:dyDescent="0.3">
      <c r="A3" s="6">
        <v>1</v>
      </c>
      <c r="B3" s="6" t="s">
        <v>164</v>
      </c>
      <c r="C3" s="6"/>
      <c r="D3" s="6" t="s">
        <v>270</v>
      </c>
      <c r="E3" s="6" t="s">
        <v>234</v>
      </c>
      <c r="F3" s="2"/>
      <c r="G3" s="8" t="str">
        <f>VLOOKUP(K3,[1]Sheet1!$B:$F,5,0)</f>
        <v>https://schnell-s3-image.s3.ap-south-1.amazonaws.com/luminator/cc8c5720-8bbb-11f0-9a2c-db01a3c00c90.jpg</v>
      </c>
      <c r="H3" s="8" t="str">
        <f>HYPERLINK(G3)</f>
        <v>https://schnell-s3-image.s3.ap-south-1.amazonaws.com/luminator/cc8c5720-8bbb-11f0-9a2c-db01a3c00c90.jpg</v>
      </c>
      <c r="I3" s="6" t="s">
        <v>165</v>
      </c>
      <c r="J3" s="6">
        <v>5</v>
      </c>
      <c r="K3" s="3" t="s">
        <v>27</v>
      </c>
      <c r="L3" s="8" t="s">
        <v>331</v>
      </c>
      <c r="M3" s="8" t="str">
        <f>HYPERLINK(L3)</f>
        <v>https://schnell-s3-image.s3.ap-south-1.amazonaws.com/luminator/229d7a50-7c5b-11f1-b76a-0769aabf2b5a.jpg</v>
      </c>
      <c r="N3" s="6" t="s">
        <v>400</v>
      </c>
      <c r="O3" s="6" t="s">
        <v>162</v>
      </c>
      <c r="P3" s="7">
        <v>13.024498100000001</v>
      </c>
      <c r="Q3" s="7">
        <v>77.629171499999998</v>
      </c>
      <c r="R3" s="4" t="s">
        <v>147</v>
      </c>
      <c r="S3" s="1">
        <v>0</v>
      </c>
      <c r="T3" s="1">
        <v>6</v>
      </c>
      <c r="U3" s="1">
        <v>0</v>
      </c>
      <c r="V3" s="1">
        <v>0</v>
      </c>
      <c r="W3" s="1">
        <v>0</v>
      </c>
      <c r="X3" s="1">
        <v>2</v>
      </c>
      <c r="Y3" s="1">
        <v>10</v>
      </c>
      <c r="Z3" s="1">
        <v>0</v>
      </c>
      <c r="AA3" s="1"/>
    </row>
    <row r="4" spans="1:27" x14ac:dyDescent="0.3">
      <c r="A4" s="6">
        <v>2</v>
      </c>
      <c r="B4" s="6">
        <v>82</v>
      </c>
      <c r="C4" s="6"/>
      <c r="D4" s="6" t="s">
        <v>271</v>
      </c>
      <c r="E4" s="6" t="s">
        <v>235</v>
      </c>
      <c r="F4" s="2"/>
      <c r="G4" s="8" t="str">
        <f>VLOOKUP(K4,[1]Sheet1!$B:$F,5,0)</f>
        <v>https://schnell-s3-image.s3.ap-south-1.amazonaws.com/luminator/fecab0f0-87a7-11f0-9a98-790b515ad591.jpg</v>
      </c>
      <c r="H4" s="8" t="str">
        <f t="shared" ref="H4:H67" si="0">HYPERLINK(G4)</f>
        <v>https://schnell-s3-image.s3.ap-south-1.amazonaws.com/luminator/fecab0f0-87a7-11f0-9a98-790b515ad591.jpg</v>
      </c>
      <c r="I4" s="6" t="s">
        <v>166</v>
      </c>
      <c r="J4" s="6">
        <v>9</v>
      </c>
      <c r="K4" s="3" t="s">
        <v>28</v>
      </c>
      <c r="L4" s="8" t="s">
        <v>332</v>
      </c>
      <c r="M4" s="8" t="str">
        <f t="shared" ref="M4:M67" si="1">HYPERLINK(L4)</f>
        <v>https://schnell-s3-image.s3.ap-south-1.amazonaws.com/luminator/34f99ce0-81df-11f1-9f60-b12c2e5215f1.jpg</v>
      </c>
      <c r="N4" s="6" t="s">
        <v>400</v>
      </c>
      <c r="O4" s="6" t="s">
        <v>162</v>
      </c>
      <c r="P4" s="7">
        <v>13.015230000000001</v>
      </c>
      <c r="Q4" s="7">
        <v>77.634867600000007</v>
      </c>
      <c r="R4" s="4" t="s">
        <v>148</v>
      </c>
      <c r="S4" s="1">
        <v>0</v>
      </c>
      <c r="T4" s="1">
        <v>2</v>
      </c>
      <c r="U4" s="1">
        <v>1</v>
      </c>
      <c r="V4" s="1">
        <v>0</v>
      </c>
      <c r="W4" s="1">
        <v>0</v>
      </c>
      <c r="X4" s="1">
        <v>15</v>
      </c>
      <c r="Y4" s="1">
        <v>6</v>
      </c>
      <c r="Z4" s="1">
        <v>0</v>
      </c>
      <c r="AA4" s="1"/>
    </row>
    <row r="5" spans="1:27" x14ac:dyDescent="0.3">
      <c r="A5" s="6">
        <v>3</v>
      </c>
      <c r="B5" s="6">
        <v>105</v>
      </c>
      <c r="C5" s="6"/>
      <c r="D5" s="6" t="s">
        <v>272</v>
      </c>
      <c r="E5" s="6" t="s">
        <v>236</v>
      </c>
      <c r="F5" s="2"/>
      <c r="G5" s="8" t="str">
        <f>VLOOKUP(K5,[1]Sheet1!$B:$F,5,0)</f>
        <v>https://schnell-s3-image.s3.ap-south-1.amazonaws.com/luminator/cdb2f2a0-8722-11f0-b57f-b5c67c4457e6.jpg</v>
      </c>
      <c r="H5" s="8" t="str">
        <f t="shared" si="0"/>
        <v>https://schnell-s3-image.s3.ap-south-1.amazonaws.com/luminator/cdb2f2a0-8722-11f0-b57f-b5c67c4457e6.jpg</v>
      </c>
      <c r="I5" s="6" t="s">
        <v>167</v>
      </c>
      <c r="J5" s="6">
        <v>5</v>
      </c>
      <c r="K5" s="3" t="s">
        <v>29</v>
      </c>
      <c r="L5" s="8" t="s">
        <v>333</v>
      </c>
      <c r="M5" s="8" t="str">
        <f t="shared" si="1"/>
        <v>https://schnell-s3-image.s3.ap-south-1.amazonaws.com/luminator/a73a7bf0-81ce-11f1-89a8-1731b9379039.jpg</v>
      </c>
      <c r="N5" s="6" t="s">
        <v>400</v>
      </c>
      <c r="O5" s="6" t="s">
        <v>163</v>
      </c>
      <c r="P5" s="7">
        <v>13.014559999999999</v>
      </c>
      <c r="Q5" s="7">
        <v>77.631029999999996</v>
      </c>
      <c r="R5" s="4" t="s">
        <v>149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20</v>
      </c>
      <c r="Y5" s="1">
        <v>3</v>
      </c>
      <c r="Z5" s="1">
        <v>0</v>
      </c>
      <c r="AA5" s="1"/>
    </row>
    <row r="6" spans="1:27" x14ac:dyDescent="0.3">
      <c r="A6" s="6">
        <v>4</v>
      </c>
      <c r="B6" s="6">
        <v>42</v>
      </c>
      <c r="C6" s="6"/>
      <c r="D6" s="6" t="s">
        <v>273</v>
      </c>
      <c r="E6" s="6">
        <v>50199754</v>
      </c>
      <c r="F6" s="2"/>
      <c r="G6" s="8" t="str">
        <f>VLOOKUP(K6,[1]Sheet1!$B:$F,5,0)</f>
        <v>https://schnell-s3-image.s3.ap-south-1.amazonaws.com/luminator/eb3d54b0-88a2-11f0-8f5e-557988e15410.jpg</v>
      </c>
      <c r="H6" s="8" t="str">
        <f t="shared" si="0"/>
        <v>https://schnell-s3-image.s3.ap-south-1.amazonaws.com/luminator/eb3d54b0-88a2-11f0-8f5e-557988e15410.jpg</v>
      </c>
      <c r="I6" s="6" t="s">
        <v>168</v>
      </c>
      <c r="J6" s="6">
        <v>5</v>
      </c>
      <c r="K6" s="3" t="s">
        <v>30</v>
      </c>
      <c r="L6" s="8" t="s">
        <v>334</v>
      </c>
      <c r="M6" s="8" t="str">
        <f t="shared" si="1"/>
        <v>https://schnell-s3-image.s3.ap-south-1.amazonaws.com/luminator/a1377c50-84d3-11f1-aafa-4765604e8aff.jpg</v>
      </c>
      <c r="N6" s="6" t="s">
        <v>400</v>
      </c>
      <c r="O6" s="6" t="s">
        <v>162</v>
      </c>
      <c r="P6" s="7">
        <v>13.022119999999999</v>
      </c>
      <c r="Q6" s="7">
        <v>77.633544900000004</v>
      </c>
      <c r="R6" s="4" t="s">
        <v>150</v>
      </c>
      <c r="S6" s="1">
        <v>0</v>
      </c>
      <c r="T6" s="1">
        <v>5</v>
      </c>
      <c r="U6" s="1">
        <v>0</v>
      </c>
      <c r="V6" s="1">
        <v>0</v>
      </c>
      <c r="W6" s="1">
        <v>0</v>
      </c>
      <c r="X6" s="1">
        <v>12</v>
      </c>
      <c r="Y6" s="1">
        <v>1</v>
      </c>
      <c r="Z6" s="1">
        <v>0</v>
      </c>
      <c r="AA6" s="1"/>
    </row>
    <row r="7" spans="1:27" x14ac:dyDescent="0.3">
      <c r="A7" s="6">
        <v>5</v>
      </c>
      <c r="B7" s="6">
        <v>62</v>
      </c>
      <c r="C7" s="6"/>
      <c r="D7" s="6" t="s">
        <v>274</v>
      </c>
      <c r="E7" s="6">
        <v>2922235</v>
      </c>
      <c r="F7" s="2"/>
      <c r="G7" s="8" t="str">
        <f>VLOOKUP(K7,[1]Sheet1!$B:$F,5,0)</f>
        <v>https://schnell-s3-image.s3.ap-south-1.amazonaws.com/luminator/5f158ad0-870c-11f0-9d8d-a3fdabbff8cb.jpg</v>
      </c>
      <c r="H7" s="8" t="str">
        <f t="shared" si="0"/>
        <v>https://schnell-s3-image.s3.ap-south-1.amazonaws.com/luminator/5f158ad0-870c-11f0-9d8d-a3fdabbff8cb.jpg</v>
      </c>
      <c r="I7" s="6" t="s">
        <v>169</v>
      </c>
      <c r="J7" s="6">
        <v>5</v>
      </c>
      <c r="K7" s="3" t="s">
        <v>31</v>
      </c>
      <c r="L7" s="8" t="s">
        <v>335</v>
      </c>
      <c r="M7" s="8" t="str">
        <f t="shared" si="1"/>
        <v>https://schnell-s3-image.s3.ap-south-1.amazonaws.com/luminator/11a0fc30-81b6-11f1-bc08-e15b44a05b6c.jpg</v>
      </c>
      <c r="N7" s="6" t="s">
        <v>400</v>
      </c>
      <c r="O7" s="6" t="s">
        <v>163</v>
      </c>
      <c r="P7" s="7">
        <v>13.014110000000001</v>
      </c>
      <c r="Q7" s="7">
        <v>77.633495600000003</v>
      </c>
      <c r="R7" s="4" t="s">
        <v>151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21</v>
      </c>
      <c r="Y7" s="1">
        <v>5</v>
      </c>
      <c r="Z7" s="1">
        <v>0</v>
      </c>
      <c r="AA7" s="1"/>
    </row>
    <row r="8" spans="1:27" x14ac:dyDescent="0.3">
      <c r="A8" s="6">
        <v>6</v>
      </c>
      <c r="B8" s="6">
        <v>9</v>
      </c>
      <c r="C8" s="6"/>
      <c r="D8" s="6" t="s">
        <v>275</v>
      </c>
      <c r="E8" s="6" t="s">
        <v>237</v>
      </c>
      <c r="F8" s="2"/>
      <c r="G8" s="8" t="str">
        <f>VLOOKUP(K8,[1]Sheet1!$B:$F,5,0)</f>
        <v>https://schnell-s3-image.s3.ap-south-1.amazonaws.com/luminator/e86c2df0-888f-11f0-8b3c-1ffe7b06b20b.jpg</v>
      </c>
      <c r="H8" s="8" t="str">
        <f t="shared" si="0"/>
        <v>https://schnell-s3-image.s3.ap-south-1.amazonaws.com/luminator/e86c2df0-888f-11f0-8b3c-1ffe7b06b20b.jpg</v>
      </c>
      <c r="I8" s="6" t="s">
        <v>170</v>
      </c>
      <c r="J8" s="6">
        <v>6</v>
      </c>
      <c r="K8" s="3" t="s">
        <v>32</v>
      </c>
      <c r="L8" s="8" t="s">
        <v>336</v>
      </c>
      <c r="M8" s="8" t="str">
        <f t="shared" si="1"/>
        <v>https://schnell-s3-image.s3.ap-south-1.amazonaws.com/luminator/4c568030-8430-11f1-81b0-f34b94009e06.jpg</v>
      </c>
      <c r="N8" s="6" t="s">
        <v>400</v>
      </c>
      <c r="O8" s="6" t="s">
        <v>162</v>
      </c>
      <c r="P8" s="7">
        <v>13.01817</v>
      </c>
      <c r="Q8" s="7">
        <v>77.631466000000003</v>
      </c>
      <c r="R8" s="4" t="s">
        <v>152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14</v>
      </c>
      <c r="Y8" s="1">
        <v>8</v>
      </c>
      <c r="Z8" s="1">
        <v>0</v>
      </c>
      <c r="AA8" s="1"/>
    </row>
    <row r="9" spans="1:27" x14ac:dyDescent="0.3">
      <c r="A9" s="6">
        <v>7</v>
      </c>
      <c r="B9" s="6">
        <v>207</v>
      </c>
      <c r="C9" s="6"/>
      <c r="D9" s="6" t="s">
        <v>276</v>
      </c>
      <c r="E9" s="6" t="s">
        <v>238</v>
      </c>
      <c r="F9" s="2"/>
      <c r="G9" s="8" t="str">
        <f>VLOOKUP(K9,[1]Sheet1!$B:$F,5,0)</f>
        <v>https://schnell-s3-image.s3.ap-south-1.amazonaws.com/luminator/94689eb0-87da-11f0-866d-1d1cf3367a5b.jpg</v>
      </c>
      <c r="H9" s="8" t="str">
        <f t="shared" si="0"/>
        <v>https://schnell-s3-image.s3.ap-south-1.amazonaws.com/luminator/94689eb0-87da-11f0-866d-1d1cf3367a5b.jpg</v>
      </c>
      <c r="I9" s="6" t="s">
        <v>171</v>
      </c>
      <c r="J9" s="6">
        <v>13</v>
      </c>
      <c r="K9" s="3" t="s">
        <v>33</v>
      </c>
      <c r="L9" s="8" t="s">
        <v>337</v>
      </c>
      <c r="M9" s="8" t="str">
        <f t="shared" si="1"/>
        <v>https://schnell-s3-image.s3.ap-south-1.amazonaws.com/luminator/3f540080-828f-11f1-9335-f55a2b22b11b.jpg</v>
      </c>
      <c r="N9" s="6" t="s">
        <v>400</v>
      </c>
      <c r="O9" s="6" t="s">
        <v>162</v>
      </c>
      <c r="P9" s="7">
        <v>13.01633</v>
      </c>
      <c r="Q9" s="7">
        <v>77.632627099999993</v>
      </c>
      <c r="R9" s="4" t="s">
        <v>153</v>
      </c>
      <c r="S9" s="1">
        <v>0</v>
      </c>
      <c r="T9" s="1">
        <v>3</v>
      </c>
      <c r="U9" s="1">
        <v>7</v>
      </c>
      <c r="V9" s="1">
        <v>0</v>
      </c>
      <c r="W9" s="1">
        <v>0</v>
      </c>
      <c r="X9" s="1">
        <v>14</v>
      </c>
      <c r="Y9" s="1">
        <v>7</v>
      </c>
      <c r="Z9" s="1">
        <v>0</v>
      </c>
      <c r="AA9" s="1"/>
    </row>
    <row r="10" spans="1:27" x14ac:dyDescent="0.3">
      <c r="A10" s="6">
        <v>8</v>
      </c>
      <c r="B10" s="6">
        <v>605</v>
      </c>
      <c r="C10" s="6"/>
      <c r="D10" s="6" t="s">
        <v>277</v>
      </c>
      <c r="E10" s="6">
        <v>502401313</v>
      </c>
      <c r="F10" s="2"/>
      <c r="G10" s="8" t="str">
        <f>VLOOKUP(K10,[1]Sheet1!$B:$F,5,0)</f>
        <v>https://schnell-s3-image.s3.ap-south-1.amazonaws.com/luminator/c170ee90-8707-11f0-9bda-ad56a80b276c.jpg</v>
      </c>
      <c r="H10" s="8" t="str">
        <f t="shared" si="0"/>
        <v>https://schnell-s3-image.s3.ap-south-1.amazonaws.com/luminator/c170ee90-8707-11f0-9bda-ad56a80b276c.jpg</v>
      </c>
      <c r="I10" s="6" t="s">
        <v>172</v>
      </c>
      <c r="J10" s="6">
        <v>4</v>
      </c>
      <c r="K10" s="3" t="s">
        <v>34</v>
      </c>
      <c r="L10" s="8" t="s">
        <v>338</v>
      </c>
      <c r="M10" s="8" t="str">
        <f t="shared" si="1"/>
        <v>https://schnell-s3-image.s3.ap-south-1.amazonaws.com/luminator/d2aaefb0-81a9-11f1-b05c-f74afc7165a9.jpg</v>
      </c>
      <c r="N10" s="6" t="s">
        <v>400</v>
      </c>
      <c r="O10" s="6" t="s">
        <v>162</v>
      </c>
      <c r="P10" s="7">
        <v>13.01336</v>
      </c>
      <c r="Q10" s="7">
        <v>77.633901600000002</v>
      </c>
      <c r="R10" s="4" t="s">
        <v>154</v>
      </c>
      <c r="S10" s="1">
        <v>0</v>
      </c>
      <c r="T10" s="1">
        <v>2</v>
      </c>
      <c r="U10" s="1">
        <v>1</v>
      </c>
      <c r="V10" s="1">
        <v>0</v>
      </c>
      <c r="W10" s="1">
        <v>0</v>
      </c>
      <c r="X10" s="1">
        <v>19</v>
      </c>
      <c r="Y10" s="1">
        <v>3</v>
      </c>
      <c r="Z10" s="1">
        <v>0</v>
      </c>
      <c r="AA10" s="1"/>
    </row>
    <row r="11" spans="1:27" x14ac:dyDescent="0.3">
      <c r="A11" s="6">
        <v>9</v>
      </c>
      <c r="B11" s="6">
        <v>266</v>
      </c>
      <c r="C11" s="6"/>
      <c r="D11" s="6" t="s">
        <v>278</v>
      </c>
      <c r="E11" s="6">
        <v>50255344</v>
      </c>
      <c r="F11" s="2"/>
      <c r="G11" s="8" t="str">
        <f>VLOOKUP(K11,[1]Sheet1!$B:$F,5,0)</f>
        <v>https://schnell-s3-image.s3.ap-south-1.amazonaws.com/luminator/b3fb78f0-86ff-11f0-ae48-85037efca68c.jpg</v>
      </c>
      <c r="H11" s="8" t="str">
        <f t="shared" si="0"/>
        <v>https://schnell-s3-image.s3.ap-south-1.amazonaws.com/luminator/b3fb78f0-86ff-11f0-ae48-85037efca68c.jpg</v>
      </c>
      <c r="I11" s="6" t="s">
        <v>173</v>
      </c>
      <c r="J11" s="6">
        <v>12</v>
      </c>
      <c r="K11" s="3" t="s">
        <v>35</v>
      </c>
      <c r="L11" s="8" t="s">
        <v>339</v>
      </c>
      <c r="M11" s="8" t="str">
        <f t="shared" si="1"/>
        <v>https://schnell-s3-image.s3.ap-south-1.amazonaws.com/luminator/6126fe50-84f7-11f1-af2c-eb429c46fd6e.jpg</v>
      </c>
      <c r="N11" s="6" t="s">
        <v>400</v>
      </c>
      <c r="O11" s="6" t="s">
        <v>163</v>
      </c>
      <c r="P11" s="7">
        <v>13.022489999999999</v>
      </c>
      <c r="Q11" s="7">
        <v>77.631132100000002</v>
      </c>
      <c r="R11" s="4" t="s">
        <v>155</v>
      </c>
      <c r="S11" s="1">
        <v>0</v>
      </c>
      <c r="T11" s="1">
        <v>11</v>
      </c>
      <c r="U11" s="1">
        <v>0</v>
      </c>
      <c r="V11" s="1">
        <v>0</v>
      </c>
      <c r="W11" s="1">
        <v>0</v>
      </c>
      <c r="X11" s="1">
        <v>14</v>
      </c>
      <c r="Y11" s="1">
        <v>8</v>
      </c>
      <c r="Z11" s="1">
        <v>0</v>
      </c>
      <c r="AA11" s="1"/>
    </row>
    <row r="12" spans="1:27" x14ac:dyDescent="0.3">
      <c r="A12" s="6">
        <v>10</v>
      </c>
      <c r="B12" s="6">
        <v>55</v>
      </c>
      <c r="C12" s="6"/>
      <c r="D12" s="6" t="s">
        <v>279</v>
      </c>
      <c r="E12" s="6">
        <v>2926386</v>
      </c>
      <c r="F12" s="2"/>
      <c r="G12" s="8" t="str">
        <f>VLOOKUP(K12,[1]Sheet1!$B:$F,5,0)</f>
        <v>https://schnell-s3-image.s3.ap-south-1.amazonaws.com/luminator/66334c20-87df-11f0-866d-1d1cf3367a5b.jpg</v>
      </c>
      <c r="H12" s="8" t="str">
        <f t="shared" si="0"/>
        <v>https://schnell-s3-image.s3.ap-south-1.amazonaws.com/luminator/66334c20-87df-11f0-866d-1d1cf3367a5b.jpg</v>
      </c>
      <c r="I12" s="6" t="s">
        <v>174</v>
      </c>
      <c r="J12" s="6">
        <v>5</v>
      </c>
      <c r="K12" s="3" t="s">
        <v>36</v>
      </c>
      <c r="L12" s="8" t="s">
        <v>340</v>
      </c>
      <c r="M12" s="8" t="str">
        <f t="shared" si="1"/>
        <v>https://schnell-s3-image.s3.ap-south-1.amazonaws.com/luminator/a9534660-8269-11f1-a547-bf1165be59d8.jpg</v>
      </c>
      <c r="N12" s="6" t="s">
        <v>400</v>
      </c>
      <c r="O12" s="6" t="s">
        <v>163</v>
      </c>
      <c r="P12" s="7">
        <v>13.017720000000001</v>
      </c>
      <c r="Q12" s="7">
        <v>77.630165000000005</v>
      </c>
      <c r="R12" s="4" t="s">
        <v>156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18</v>
      </c>
      <c r="Y12" s="1">
        <v>1</v>
      </c>
      <c r="Z12" s="1">
        <v>0</v>
      </c>
      <c r="AA12" s="1"/>
    </row>
    <row r="13" spans="1:27" x14ac:dyDescent="0.3">
      <c r="A13" s="6">
        <v>11</v>
      </c>
      <c r="B13" s="6">
        <v>55</v>
      </c>
      <c r="C13" s="6"/>
      <c r="D13" s="6" t="s">
        <v>280</v>
      </c>
      <c r="E13" s="6">
        <v>52933748</v>
      </c>
      <c r="F13" s="2"/>
      <c r="G13" s="8" t="str">
        <f>VLOOKUP(K13,[1]Sheet1!$B:$F,5,0)</f>
        <v>https://schnell-s3-image.s3.ap-south-1.amazonaws.com/luminator/8d741e60-abf5-11f0-8a06-593b99ef8829.jpg</v>
      </c>
      <c r="H13" s="8" t="str">
        <f t="shared" si="0"/>
        <v>https://schnell-s3-image.s3.ap-south-1.amazonaws.com/luminator/8d741e60-abf5-11f0-8a06-593b99ef8829.jpg</v>
      </c>
      <c r="I13" s="6" t="s">
        <v>175</v>
      </c>
      <c r="J13" s="6">
        <v>12</v>
      </c>
      <c r="K13" s="3" t="s">
        <v>37</v>
      </c>
      <c r="L13" s="8" t="s">
        <v>341</v>
      </c>
      <c r="M13" s="8" t="str">
        <f t="shared" si="1"/>
        <v>https://schnell-s3-image.s3.ap-south-1.amazonaws.com/luminator/2e8b28b0-825c-11f1-9017-fb5dad251afa.jpg</v>
      </c>
      <c r="N13" s="6" t="s">
        <v>400</v>
      </c>
      <c r="O13" s="6" t="s">
        <v>162</v>
      </c>
      <c r="P13" s="7">
        <v>13.01783</v>
      </c>
      <c r="Q13" s="7">
        <v>77.6297335</v>
      </c>
      <c r="R13" s="4" t="s">
        <v>157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7</v>
      </c>
      <c r="Y13" s="1">
        <v>0</v>
      </c>
      <c r="Z13" s="1">
        <v>0</v>
      </c>
      <c r="AA13" s="1"/>
    </row>
    <row r="14" spans="1:27" x14ac:dyDescent="0.3">
      <c r="A14" s="6">
        <v>12</v>
      </c>
      <c r="B14" s="6" t="s">
        <v>164</v>
      </c>
      <c r="C14" s="6"/>
      <c r="D14" s="6">
        <v>42</v>
      </c>
      <c r="E14" s="6">
        <v>50307410</v>
      </c>
      <c r="F14" s="2"/>
      <c r="G14" s="8" t="str">
        <f>VLOOKUP(K14,[1]Sheet1!$B:$F,5,0)</f>
        <v>https://schnell-s3-image.s3.ap-south-1.amazonaws.com/luminator/ee87caf0-8885-11f0-82cb-c3dea1dcedbe.jpg</v>
      </c>
      <c r="H14" s="8" t="str">
        <f t="shared" si="0"/>
        <v>https://schnell-s3-image.s3.ap-south-1.amazonaws.com/luminator/ee87caf0-8885-11f0-82cb-c3dea1dcedbe.jpg</v>
      </c>
      <c r="I14" s="6" t="s">
        <v>176</v>
      </c>
      <c r="J14" s="6">
        <v>12</v>
      </c>
      <c r="K14" s="3" t="s">
        <v>38</v>
      </c>
      <c r="L14" s="8" t="s">
        <v>342</v>
      </c>
      <c r="M14" s="8" t="str">
        <f t="shared" si="1"/>
        <v>https://schnell-s3-image.s3.ap-south-1.amazonaws.com/luminator/ce5160f0-8417-11f1-b302-730e08d9f8f6.jpg</v>
      </c>
      <c r="N14" s="6" t="s">
        <v>400</v>
      </c>
      <c r="O14" s="6" t="s">
        <v>162</v>
      </c>
      <c r="P14" s="7">
        <v>13.017250000000001</v>
      </c>
      <c r="Q14" s="7">
        <v>77.635353300000006</v>
      </c>
      <c r="R14" s="4" t="s">
        <v>158</v>
      </c>
      <c r="S14" s="1">
        <v>0</v>
      </c>
      <c r="T14" s="1">
        <v>3</v>
      </c>
      <c r="U14" s="1">
        <v>0</v>
      </c>
      <c r="V14" s="1">
        <v>0</v>
      </c>
      <c r="W14" s="1">
        <v>0</v>
      </c>
      <c r="X14" s="1">
        <v>7</v>
      </c>
      <c r="Y14" s="1">
        <v>5</v>
      </c>
      <c r="Z14" s="1">
        <v>0</v>
      </c>
      <c r="AA14" s="1"/>
    </row>
    <row r="15" spans="1:27" x14ac:dyDescent="0.3">
      <c r="A15" s="6">
        <v>13</v>
      </c>
      <c r="B15" s="6" t="s">
        <v>164</v>
      </c>
      <c r="C15" s="6"/>
      <c r="D15" s="6" t="s">
        <v>281</v>
      </c>
      <c r="E15" s="6">
        <v>442128722</v>
      </c>
      <c r="F15" s="2"/>
      <c r="G15" s="8" t="str">
        <f>VLOOKUP(K15,[1]Sheet1!$B:$F,5,0)</f>
        <v>https://schnell-s3-image.s3.ap-south-1.amazonaws.com/luminator/2a1fd1d0-88b2-11f0-8d8b-9bc86d6a7cc6.jpg</v>
      </c>
      <c r="H15" s="8" t="str">
        <f t="shared" si="0"/>
        <v>https://schnell-s3-image.s3.ap-south-1.amazonaws.com/luminator/2a1fd1d0-88b2-11f0-8d8b-9bc86d6a7cc6.jpg</v>
      </c>
      <c r="I15" s="6" t="s">
        <v>177</v>
      </c>
      <c r="J15" s="6">
        <v>14</v>
      </c>
      <c r="K15" s="3" t="s">
        <v>39</v>
      </c>
      <c r="L15" s="8" t="s">
        <v>343</v>
      </c>
      <c r="M15" s="8" t="str">
        <f t="shared" si="1"/>
        <v>https://schnell-s3-image.s3.ap-south-1.amazonaws.com/luminator/29bb8520-8502-11f1-a80f-fde50ea66d9e.jpg</v>
      </c>
      <c r="N15" s="6" t="s">
        <v>400</v>
      </c>
      <c r="O15" s="6" t="s">
        <v>162</v>
      </c>
      <c r="P15" s="7">
        <v>13.021570000000001</v>
      </c>
      <c r="Q15" s="7">
        <v>77.629864900000001</v>
      </c>
      <c r="R15" s="4" t="s">
        <v>159</v>
      </c>
      <c r="S15" s="1">
        <v>0</v>
      </c>
      <c r="T15" s="1">
        <v>6</v>
      </c>
      <c r="U15" s="1">
        <v>0</v>
      </c>
      <c r="V15" s="1">
        <v>0</v>
      </c>
      <c r="W15" s="1">
        <v>0</v>
      </c>
      <c r="X15" s="1">
        <v>34</v>
      </c>
      <c r="Y15" s="1">
        <v>24</v>
      </c>
      <c r="Z15" s="1">
        <v>1</v>
      </c>
      <c r="AA15" s="1"/>
    </row>
    <row r="16" spans="1:27" x14ac:dyDescent="0.3">
      <c r="A16" s="6">
        <v>14</v>
      </c>
      <c r="B16" s="6">
        <v>16</v>
      </c>
      <c r="C16" s="6"/>
      <c r="D16" s="6" t="s">
        <v>282</v>
      </c>
      <c r="E16" s="6">
        <v>42509615</v>
      </c>
      <c r="F16" s="2"/>
      <c r="G16" s="8" t="str">
        <f>VLOOKUP(K16,[1]Sheet1!$B:$F,5,0)</f>
        <v>https://schnell-s3-image.s3.ap-south-1.amazonaws.com/luminator/d26cc560-87cb-11f0-b46f-178dd9716d26.jpg</v>
      </c>
      <c r="H16" s="8" t="str">
        <f t="shared" si="0"/>
        <v>https://schnell-s3-image.s3.ap-south-1.amazonaws.com/luminator/d26cc560-87cb-11f0-b46f-178dd9716d26.jpg</v>
      </c>
      <c r="I16" s="6" t="s">
        <v>178</v>
      </c>
      <c r="J16" s="6">
        <v>5</v>
      </c>
      <c r="K16" s="3" t="s">
        <v>40</v>
      </c>
      <c r="L16" s="8" t="s">
        <v>344</v>
      </c>
      <c r="M16" s="8" t="str">
        <f t="shared" si="1"/>
        <v>https://schnell-s3-image.s3.ap-south-1.amazonaws.com/luminator/80275880-829b-11f1-8182-532eadd30268.jpg</v>
      </c>
      <c r="N16" s="6" t="s">
        <v>400</v>
      </c>
      <c r="O16" s="6" t="s">
        <v>163</v>
      </c>
      <c r="P16" s="7">
        <v>13.015930000000001</v>
      </c>
      <c r="Q16" s="7">
        <v>77.633821900000001</v>
      </c>
      <c r="R16" s="4" t="s">
        <v>160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36</v>
      </c>
      <c r="Y16" s="1">
        <v>1</v>
      </c>
      <c r="Z16" s="1">
        <v>0</v>
      </c>
      <c r="AA16" s="1"/>
    </row>
    <row r="17" spans="1:27" x14ac:dyDescent="0.3">
      <c r="A17" s="6">
        <v>15</v>
      </c>
      <c r="B17" s="6">
        <v>28</v>
      </c>
      <c r="C17" s="6"/>
      <c r="D17" s="6" t="s">
        <v>283</v>
      </c>
      <c r="E17" s="6">
        <v>476433</v>
      </c>
      <c r="F17" s="2"/>
      <c r="G17" s="8" t="str">
        <f>VLOOKUP(K17,[1]Sheet1!$B:$F,5,0)</f>
        <v>https://schnell-s3-image.s3.ap-south-1.amazonaws.com/luminator/1017d7f0-8a20-11f0-b328-91c58020a09c.jpg</v>
      </c>
      <c r="H17" s="8" t="str">
        <f t="shared" si="0"/>
        <v>https://schnell-s3-image.s3.ap-south-1.amazonaws.com/luminator/1017d7f0-8a20-11f0-b328-91c58020a09c.jpg</v>
      </c>
      <c r="I17" s="6" t="s">
        <v>179</v>
      </c>
      <c r="J17" s="6">
        <v>15</v>
      </c>
      <c r="K17" s="3" t="s">
        <v>41</v>
      </c>
      <c r="L17" s="8" t="s">
        <v>345</v>
      </c>
      <c r="M17" s="8" t="str">
        <f t="shared" si="1"/>
        <v>https://schnell-s3-image.s3.ap-south-1.amazonaws.com/luminator/69f3ab50-85ce-11f1-a470-ff9f344626e7.jpg</v>
      </c>
      <c r="N17" s="6" t="s">
        <v>400</v>
      </c>
      <c r="O17" s="6" t="s">
        <v>163</v>
      </c>
      <c r="P17" s="7">
        <v>13.025969999999999</v>
      </c>
      <c r="Q17" s="7">
        <v>77.6334935</v>
      </c>
      <c r="R17" s="4" t="s">
        <v>161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28</v>
      </c>
      <c r="Y17" s="1">
        <v>0</v>
      </c>
      <c r="Z17" s="1">
        <v>0</v>
      </c>
      <c r="AA17" s="1"/>
    </row>
    <row r="18" spans="1:27" x14ac:dyDescent="0.3">
      <c r="A18" s="6">
        <v>16</v>
      </c>
      <c r="B18" s="6" t="s">
        <v>164</v>
      </c>
      <c r="C18" s="6"/>
      <c r="D18" s="6" t="s">
        <v>284</v>
      </c>
      <c r="E18" s="6" t="s">
        <v>239</v>
      </c>
      <c r="F18" s="2"/>
      <c r="G18" s="8" t="str">
        <f>VLOOKUP(K18,[1]Sheet1!$B:$F,5,0)</f>
        <v>https://schnell-s3-image.s3.ap-south-1.amazonaws.com/luminator/f5839850-8887-11f0-82cb-c3dea1dcedbe.jpg</v>
      </c>
      <c r="H18" s="8" t="str">
        <f t="shared" si="0"/>
        <v>https://schnell-s3-image.s3.ap-south-1.amazonaws.com/luminator/f5839850-8887-11f0-82cb-c3dea1dcedbe.jpg</v>
      </c>
      <c r="I18" s="6" t="s">
        <v>180</v>
      </c>
      <c r="J18" s="6">
        <v>14</v>
      </c>
      <c r="K18" s="3" t="s">
        <v>42</v>
      </c>
      <c r="L18" s="8" t="s">
        <v>346</v>
      </c>
      <c r="M18" s="8" t="str">
        <f t="shared" si="1"/>
        <v>https://schnell-s3-image.s3.ap-south-1.amazonaws.com/luminator/ab9d1c20-8426-11f1-9780-37e6b54940c9.jpg</v>
      </c>
      <c r="N18" s="6" t="s">
        <v>400</v>
      </c>
      <c r="O18" s="6" t="s">
        <v>162</v>
      </c>
      <c r="P18" s="7">
        <v>13.01728</v>
      </c>
      <c r="Q18" s="7">
        <v>77.632640600000002</v>
      </c>
      <c r="R18" s="4" t="s">
        <v>96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11</v>
      </c>
      <c r="Y18" s="1">
        <v>4</v>
      </c>
      <c r="Z18" s="1">
        <v>0</v>
      </c>
      <c r="AA18" s="1"/>
    </row>
    <row r="19" spans="1:27" x14ac:dyDescent="0.3">
      <c r="A19" s="6">
        <v>17</v>
      </c>
      <c r="B19" s="6">
        <v>68</v>
      </c>
      <c r="C19" s="6"/>
      <c r="D19" s="6" t="s">
        <v>285</v>
      </c>
      <c r="E19" s="6" t="s">
        <v>240</v>
      </c>
      <c r="F19" s="2"/>
      <c r="G19" s="8" t="str">
        <f>VLOOKUP(K19,[1]Sheet1!$B:$F,5,0)</f>
        <v>https://schnell-s3-image.s3.ap-south-1.amazonaws.com/luminator/a7d39d90-889a-11f0-82e5-ff5bb50178d9.jpg</v>
      </c>
      <c r="H19" s="8" t="str">
        <f t="shared" si="0"/>
        <v>https://schnell-s3-image.s3.ap-south-1.amazonaws.com/luminator/a7d39d90-889a-11f0-82e5-ff5bb50178d9.jpg</v>
      </c>
      <c r="I19" s="6" t="s">
        <v>181</v>
      </c>
      <c r="J19" s="6">
        <v>5</v>
      </c>
      <c r="K19" s="3" t="s">
        <v>43</v>
      </c>
      <c r="L19" s="8" t="s">
        <v>347</v>
      </c>
      <c r="M19" s="8" t="str">
        <f t="shared" si="1"/>
        <v>https://schnell-s3-image.s3.ap-south-1.amazonaws.com/luminator/45f63ad0-84c3-11f1-b038-392b85f472e9.jpg</v>
      </c>
      <c r="N19" s="6" t="s">
        <v>400</v>
      </c>
      <c r="O19" s="6" t="s">
        <v>163</v>
      </c>
      <c r="P19" s="7">
        <v>13.020490000000001</v>
      </c>
      <c r="Q19" s="7">
        <v>77.630632000000006</v>
      </c>
      <c r="R19" s="4" t="s">
        <v>97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3</v>
      </c>
      <c r="Y19" s="1">
        <v>2</v>
      </c>
      <c r="Z19" s="1">
        <v>0</v>
      </c>
      <c r="AA19" s="1"/>
    </row>
    <row r="20" spans="1:27" x14ac:dyDescent="0.3">
      <c r="A20" s="6">
        <v>18</v>
      </c>
      <c r="B20" s="6">
        <v>392</v>
      </c>
      <c r="C20" s="6"/>
      <c r="D20" s="6" t="s">
        <v>286</v>
      </c>
      <c r="E20" s="6">
        <v>50765760</v>
      </c>
      <c r="F20" s="2"/>
      <c r="G20" s="8" t="str">
        <f>VLOOKUP(K20,[1]Sheet1!$B:$F,5,0)</f>
        <v>https://schnell-s3-image.s3.ap-south-1.amazonaws.com/luminator/a2eb7960-87a5-11f0-9a98-790b515ad591.jpg</v>
      </c>
      <c r="H20" s="8" t="str">
        <f t="shared" si="0"/>
        <v>https://schnell-s3-image.s3.ap-south-1.amazonaws.com/luminator/a2eb7960-87a5-11f0-9a98-790b515ad591.jpg</v>
      </c>
      <c r="I20" s="6" t="s">
        <v>182</v>
      </c>
      <c r="J20" s="6">
        <v>4</v>
      </c>
      <c r="K20" s="3" t="s">
        <v>44</v>
      </c>
      <c r="L20" s="8" t="s">
        <v>348</v>
      </c>
      <c r="M20" s="8" t="str">
        <f t="shared" si="1"/>
        <v>https://schnell-s3-image.s3.ap-south-1.amazonaws.com/luminator/ed9cc580-81c9-11f1-8c39-db770c65a6e0.jpg</v>
      </c>
      <c r="N20" s="6" t="s">
        <v>400</v>
      </c>
      <c r="O20" s="6" t="s">
        <v>163</v>
      </c>
      <c r="P20" s="7">
        <v>13.013500000000001</v>
      </c>
      <c r="Q20" s="7">
        <v>77.630814700000002</v>
      </c>
      <c r="R20" s="4" t="s">
        <v>98</v>
      </c>
      <c r="S20" s="1">
        <v>0</v>
      </c>
      <c r="T20" s="1">
        <v>15</v>
      </c>
      <c r="U20" s="1">
        <v>0</v>
      </c>
      <c r="V20" s="1">
        <v>0</v>
      </c>
      <c r="W20" s="1">
        <v>0</v>
      </c>
      <c r="X20" s="1">
        <v>11</v>
      </c>
      <c r="Y20" s="1">
        <v>0</v>
      </c>
      <c r="Z20" s="1">
        <v>0</v>
      </c>
      <c r="AA20" s="1"/>
    </row>
    <row r="21" spans="1:27" x14ac:dyDescent="0.3">
      <c r="A21" s="6">
        <v>19</v>
      </c>
      <c r="B21" s="6">
        <v>106</v>
      </c>
      <c r="C21" s="6"/>
      <c r="D21" s="6" t="s">
        <v>287</v>
      </c>
      <c r="E21" s="6" t="s">
        <v>241</v>
      </c>
      <c r="F21" s="2"/>
      <c r="G21" s="8" t="str">
        <f>VLOOKUP(K21,[1]Sheet1!$B:$F,5,0)</f>
        <v>https://schnell-s3-image.s3.ap-south-1.amazonaws.com/luminator/ef3e8090-87b0-11f0-993a-95a5a1f4a54c.jpg</v>
      </c>
      <c r="H21" s="8" t="str">
        <f t="shared" si="0"/>
        <v>https://schnell-s3-image.s3.ap-south-1.amazonaws.com/luminator/ef3e8090-87b0-11f0-993a-95a5a1f4a54c.jpg</v>
      </c>
      <c r="I21" s="6" t="s">
        <v>183</v>
      </c>
      <c r="J21" s="6">
        <v>12</v>
      </c>
      <c r="K21" s="3" t="s">
        <v>45</v>
      </c>
      <c r="L21" s="8" t="s">
        <v>349</v>
      </c>
      <c r="M21" s="8" t="str">
        <f t="shared" si="1"/>
        <v>https://schnell-s3-image.s3.ap-south-1.amazonaws.com/luminator/58eea0e0-8406-11f1-8593-cf0512cec96d.jpg</v>
      </c>
      <c r="N21" s="6" t="s">
        <v>400</v>
      </c>
      <c r="O21" s="6" t="s">
        <v>162</v>
      </c>
      <c r="P21" s="7">
        <v>13.01831</v>
      </c>
      <c r="Q21" s="7">
        <v>77.636286999999996</v>
      </c>
      <c r="R21" s="4" t="s">
        <v>99</v>
      </c>
      <c r="S21" s="1">
        <v>0</v>
      </c>
      <c r="T21" s="1">
        <v>12</v>
      </c>
      <c r="U21" s="1">
        <v>1</v>
      </c>
      <c r="V21" s="1">
        <v>0</v>
      </c>
      <c r="W21" s="1">
        <v>0</v>
      </c>
      <c r="X21" s="1">
        <v>19</v>
      </c>
      <c r="Y21" s="1">
        <v>11</v>
      </c>
      <c r="Z21" s="1">
        <v>0</v>
      </c>
      <c r="AA21" s="1"/>
    </row>
    <row r="22" spans="1:27" x14ac:dyDescent="0.3">
      <c r="A22" s="6">
        <v>20</v>
      </c>
      <c r="B22" s="6">
        <v>60</v>
      </c>
      <c r="C22" s="6"/>
      <c r="D22" s="6" t="s">
        <v>288</v>
      </c>
      <c r="E22" s="6" t="s">
        <v>242</v>
      </c>
      <c r="F22" s="2"/>
      <c r="G22" s="8" t="str">
        <f>VLOOKUP(K22,[1]Sheet1!$B:$F,5,0)</f>
        <v>https://schnell-s3-image.s3.ap-south-1.amazonaws.com/luminator/706f2720-87d2-11f0-a2a5-f50c5cca1c32.jpg</v>
      </c>
      <c r="H22" s="8" t="str">
        <f t="shared" si="0"/>
        <v>https://schnell-s3-image.s3.ap-south-1.amazonaws.com/luminator/706f2720-87d2-11f0-a2a5-f50c5cca1c32.jpg</v>
      </c>
      <c r="I22" s="6" t="s">
        <v>184</v>
      </c>
      <c r="J22" s="6">
        <v>14</v>
      </c>
      <c r="K22" s="3" t="s">
        <v>46</v>
      </c>
      <c r="L22" s="8" t="s">
        <v>350</v>
      </c>
      <c r="M22" s="8" t="str">
        <f t="shared" si="1"/>
        <v>https://schnell-s3-image.s3.ap-south-1.amazonaws.com/luminator/fa845f80-8280-11f1-aa2c-c1b61490a4f4.jpg</v>
      </c>
      <c r="N22" s="6" t="s">
        <v>400</v>
      </c>
      <c r="O22" s="6" t="s">
        <v>164</v>
      </c>
      <c r="P22" s="7">
        <v>13.016679999999999</v>
      </c>
      <c r="Q22" s="7">
        <v>77.632433300000002</v>
      </c>
      <c r="R22" s="4" t="s">
        <v>100</v>
      </c>
      <c r="S22" s="1">
        <v>0</v>
      </c>
      <c r="T22" s="1">
        <v>5</v>
      </c>
      <c r="U22" s="1">
        <v>5</v>
      </c>
      <c r="V22" s="1">
        <v>0</v>
      </c>
      <c r="W22" s="1">
        <v>0</v>
      </c>
      <c r="X22" s="1">
        <v>23</v>
      </c>
      <c r="Y22" s="1">
        <v>8</v>
      </c>
      <c r="Z22" s="1">
        <v>0</v>
      </c>
      <c r="AA22" s="1"/>
    </row>
    <row r="23" spans="1:27" x14ac:dyDescent="0.3">
      <c r="A23" s="6">
        <v>21</v>
      </c>
      <c r="B23" s="6" t="s">
        <v>164</v>
      </c>
      <c r="C23" s="6"/>
      <c r="D23" s="6" t="s">
        <v>289</v>
      </c>
      <c r="E23" s="6">
        <v>41946691</v>
      </c>
      <c r="F23" s="2"/>
      <c r="G23" s="8" t="str">
        <f>VLOOKUP(K23,[1]Sheet1!$B:$F,5,0)</f>
        <v>https://schnell-s3-image.s3.ap-south-1.amazonaws.com/luminator/15a6e830-87ac-11f0-9a98-790b515ad591.jpg</v>
      </c>
      <c r="H23" s="8" t="str">
        <f t="shared" si="0"/>
        <v>https://schnell-s3-image.s3.ap-south-1.amazonaws.com/luminator/15a6e830-87ac-11f0-9a98-790b515ad591.jpg</v>
      </c>
      <c r="I23" s="6" t="s">
        <v>185</v>
      </c>
      <c r="J23" s="6">
        <v>4</v>
      </c>
      <c r="K23" s="3" t="s">
        <v>47</v>
      </c>
      <c r="L23" s="8" t="s">
        <v>351</v>
      </c>
      <c r="M23" s="8" t="str">
        <f t="shared" si="1"/>
        <v>https://schnell-s3-image.s3.ap-south-1.amazonaws.com/luminator/79495f20-8414-11f1-9214-071f8469a4b1.jpg</v>
      </c>
      <c r="N23" s="6" t="s">
        <v>400</v>
      </c>
      <c r="O23" s="6" t="s">
        <v>162</v>
      </c>
      <c r="P23" s="7">
        <v>13.01632</v>
      </c>
      <c r="Q23" s="7">
        <v>77.635316700000004</v>
      </c>
      <c r="R23" s="4" t="s">
        <v>101</v>
      </c>
      <c r="S23" s="1">
        <v>0</v>
      </c>
      <c r="T23" s="1">
        <v>8</v>
      </c>
      <c r="U23" s="1">
        <v>1</v>
      </c>
      <c r="V23" s="1">
        <v>0</v>
      </c>
      <c r="W23" s="1">
        <v>0</v>
      </c>
      <c r="X23" s="1">
        <v>14</v>
      </c>
      <c r="Y23" s="1">
        <v>5</v>
      </c>
      <c r="Z23" s="1">
        <v>0</v>
      </c>
      <c r="AA23" s="1"/>
    </row>
    <row r="24" spans="1:27" x14ac:dyDescent="0.3">
      <c r="A24" s="6">
        <v>22</v>
      </c>
      <c r="B24" s="6">
        <v>61</v>
      </c>
      <c r="C24" s="6"/>
      <c r="D24" s="6" t="s">
        <v>290</v>
      </c>
      <c r="E24" s="6" t="s">
        <v>243</v>
      </c>
      <c r="F24" s="2"/>
      <c r="G24" s="8" t="str">
        <f>VLOOKUP(K24,[1]Sheet1!$B:$F,5,0)</f>
        <v>https://schnell-s3-image.s3.ap-south-1.amazonaws.com/luminator/b3fb78f0-86ff-11f0-ae48-85037efca68c.jpg</v>
      </c>
      <c r="H24" s="8" t="str">
        <f t="shared" si="0"/>
        <v>https://schnell-s3-image.s3.ap-south-1.amazonaws.com/luminator/b3fb78f0-86ff-11f0-ae48-85037efca68c.jpg</v>
      </c>
      <c r="I24" s="6" t="s">
        <v>186</v>
      </c>
      <c r="J24" s="6">
        <v>88</v>
      </c>
      <c r="K24" s="3" t="s">
        <v>48</v>
      </c>
      <c r="L24" s="8" t="s">
        <v>352</v>
      </c>
      <c r="M24" s="8" t="str">
        <f t="shared" si="1"/>
        <v>https://schnell-s3-image.s3.ap-south-1.amazonaws.com/luminator/d4aa6c50-84e2-11f1-9a18-61ba6dbfec75.jpg</v>
      </c>
      <c r="N24" s="6" t="s">
        <v>400</v>
      </c>
      <c r="O24" s="6" t="s">
        <v>162</v>
      </c>
      <c r="P24" s="7">
        <v>13.020860000000001</v>
      </c>
      <c r="Q24" s="7">
        <v>77.634968900000004</v>
      </c>
      <c r="R24" s="4" t="s">
        <v>102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11</v>
      </c>
      <c r="Y24" s="1">
        <v>0</v>
      </c>
      <c r="Z24" s="1">
        <v>0</v>
      </c>
      <c r="AA24" s="1"/>
    </row>
    <row r="25" spans="1:27" x14ac:dyDescent="0.3">
      <c r="A25" s="6">
        <v>23</v>
      </c>
      <c r="B25" s="6">
        <v>188</v>
      </c>
      <c r="C25" s="6"/>
      <c r="D25" s="6" t="s">
        <v>291</v>
      </c>
      <c r="E25" s="6">
        <v>41926540</v>
      </c>
      <c r="F25" s="2"/>
      <c r="G25" s="8" t="str">
        <f>VLOOKUP(K25,[1]Sheet1!$B:$F,5,0)</f>
        <v>https://schnell-s3-image.s3.ap-south-1.amazonaws.com/luminator/b3fb78f0-86ff-11f0-ae48-85037efca68c.jpg</v>
      </c>
      <c r="H25" s="8" t="str">
        <f t="shared" si="0"/>
        <v>https://schnell-s3-image.s3.ap-south-1.amazonaws.com/luminator/b3fb78f0-86ff-11f0-ae48-85037efca68c.jpg</v>
      </c>
      <c r="I25" s="6" t="s">
        <v>187</v>
      </c>
      <c r="J25" s="6">
        <v>15</v>
      </c>
      <c r="K25" s="3" t="s">
        <v>49</v>
      </c>
      <c r="L25" s="8" t="s">
        <v>353</v>
      </c>
      <c r="M25" s="8" t="str">
        <f t="shared" si="1"/>
        <v>https://schnell-s3-image.s3.ap-south-1.amazonaws.com/luminator/4c98b1f0-81c2-11f1-b3f2-b3f3722c600e.jpg</v>
      </c>
      <c r="N25" s="6" t="s">
        <v>400</v>
      </c>
      <c r="O25" s="6" t="s">
        <v>162</v>
      </c>
      <c r="P25" s="7">
        <v>13.01404</v>
      </c>
      <c r="Q25" s="7">
        <v>77.635596100000001</v>
      </c>
      <c r="R25" s="4" t="s">
        <v>103</v>
      </c>
      <c r="S25" s="1">
        <v>0</v>
      </c>
      <c r="T25" s="1">
        <v>3</v>
      </c>
      <c r="U25" s="1">
        <v>2</v>
      </c>
      <c r="V25" s="1">
        <v>0</v>
      </c>
      <c r="W25" s="1">
        <v>6</v>
      </c>
      <c r="X25" s="1">
        <v>25</v>
      </c>
      <c r="Y25" s="1">
        <v>0</v>
      </c>
      <c r="Z25" s="1">
        <v>0</v>
      </c>
      <c r="AA25" s="1"/>
    </row>
    <row r="26" spans="1:27" x14ac:dyDescent="0.3">
      <c r="A26" s="6">
        <v>24</v>
      </c>
      <c r="B26" s="6">
        <v>84</v>
      </c>
      <c r="C26" s="6"/>
      <c r="D26" s="6" t="s">
        <v>292</v>
      </c>
      <c r="E26" s="6" t="s">
        <v>244</v>
      </c>
      <c r="F26" s="2"/>
      <c r="G26" s="8" t="str">
        <f>VLOOKUP(K26,[1]Sheet1!$B:$F,5,0)</f>
        <v>https://schnell-s3-image.s3.ap-south-1.amazonaws.com/luminator/062183f0-8718-11f0-9172-f183e2330bd2.jpg</v>
      </c>
      <c r="H26" s="8" t="str">
        <f t="shared" si="0"/>
        <v>https://schnell-s3-image.s3.ap-south-1.amazonaws.com/luminator/062183f0-8718-11f0-9172-f183e2330bd2.jpg</v>
      </c>
      <c r="I26" s="6" t="s">
        <v>188</v>
      </c>
      <c r="J26" s="6">
        <v>11</v>
      </c>
      <c r="K26" s="3" t="s">
        <v>50</v>
      </c>
      <c r="L26" s="8" t="s">
        <v>354</v>
      </c>
      <c r="M26" s="8" t="str">
        <f t="shared" si="1"/>
        <v>https://schnell-s3-image.s3.ap-south-1.amazonaws.com/luminator/cb4377f0-8196-11f1-a9e9-37113cefa5da.jpg</v>
      </c>
      <c r="N26" s="6" t="s">
        <v>400</v>
      </c>
      <c r="O26" s="6" t="s">
        <v>162</v>
      </c>
      <c r="P26" s="7">
        <v>13.012969999999999</v>
      </c>
      <c r="Q26" s="7">
        <v>77.632708300000004</v>
      </c>
      <c r="R26" s="4" t="s">
        <v>104</v>
      </c>
      <c r="S26" s="1">
        <v>0</v>
      </c>
      <c r="T26" s="1">
        <v>11</v>
      </c>
      <c r="U26" s="1">
        <v>0</v>
      </c>
      <c r="V26" s="1">
        <v>0</v>
      </c>
      <c r="W26" s="1">
        <v>0</v>
      </c>
      <c r="X26" s="1">
        <v>34</v>
      </c>
      <c r="Y26" s="1">
        <v>5</v>
      </c>
      <c r="Z26" s="1">
        <v>0</v>
      </c>
      <c r="AA26" s="1"/>
    </row>
    <row r="27" spans="1:27" x14ac:dyDescent="0.3">
      <c r="A27" s="6">
        <v>25</v>
      </c>
      <c r="B27" s="6">
        <v>72</v>
      </c>
      <c r="C27" s="6"/>
      <c r="D27" s="6" t="s">
        <v>293</v>
      </c>
      <c r="E27" s="6">
        <v>50471700</v>
      </c>
      <c r="F27" s="2"/>
      <c r="G27" s="8" t="str">
        <f>VLOOKUP(K27,[1]Sheet1!$B:$F,5,0)</f>
        <v>https://schnell-s3-image.s3.ap-south-1.amazonaws.com/luminator/c01a3e50-87ae-11f0-993a-95a5a1f4a54c.jpg</v>
      </c>
      <c r="H27" s="8" t="str">
        <f t="shared" si="0"/>
        <v>https://schnell-s3-image.s3.ap-south-1.amazonaws.com/luminator/c01a3e50-87ae-11f0-993a-95a5a1f4a54c.jpg</v>
      </c>
      <c r="I27" s="6" t="s">
        <v>189</v>
      </c>
      <c r="J27" s="6">
        <v>8</v>
      </c>
      <c r="K27" s="3" t="s">
        <v>51</v>
      </c>
      <c r="L27" s="8" t="s">
        <v>355</v>
      </c>
      <c r="M27" s="8" t="str">
        <f t="shared" si="1"/>
        <v>https://schnell-s3-image.s3.ap-south-1.amazonaws.com/luminator/8bad5d10-840a-11f1-ba23-51aae61cbb07.jpg</v>
      </c>
      <c r="N27" s="6" t="s">
        <v>400</v>
      </c>
      <c r="O27" s="6" t="s">
        <v>162</v>
      </c>
      <c r="P27" s="7">
        <v>13.01749</v>
      </c>
      <c r="Q27" s="7">
        <v>77.635618300000004</v>
      </c>
      <c r="R27" s="4" t="s">
        <v>105</v>
      </c>
      <c r="S27" s="1">
        <v>0</v>
      </c>
      <c r="T27" s="1">
        <v>3</v>
      </c>
      <c r="U27" s="1">
        <v>0</v>
      </c>
      <c r="V27" s="1">
        <v>0</v>
      </c>
      <c r="W27" s="1">
        <v>0</v>
      </c>
      <c r="X27" s="1">
        <v>9</v>
      </c>
      <c r="Y27" s="1">
        <v>2</v>
      </c>
      <c r="Z27" s="1">
        <v>0</v>
      </c>
      <c r="AA27" s="1"/>
    </row>
    <row r="28" spans="1:27" x14ac:dyDescent="0.3">
      <c r="A28" s="6">
        <v>26</v>
      </c>
      <c r="B28" s="6">
        <v>81</v>
      </c>
      <c r="C28" s="6"/>
      <c r="D28" s="6" t="s">
        <v>294</v>
      </c>
      <c r="E28" s="6" t="s">
        <v>245</v>
      </c>
      <c r="F28" s="2"/>
      <c r="G28" s="8" t="str">
        <f>VLOOKUP(K28,[1]Sheet1!$B:$F,5,0)</f>
        <v>https://schnell-s3-image.s3.ap-south-1.amazonaws.com/luminator/5bab2af0-8962-11f0-9dde-5f33658a742d.jpg</v>
      </c>
      <c r="H28" s="8" t="str">
        <f t="shared" si="0"/>
        <v>https://schnell-s3-image.s3.ap-south-1.amazonaws.com/luminator/5bab2af0-8962-11f0-9dde-5f33658a742d.jpg</v>
      </c>
      <c r="I28" s="6" t="s">
        <v>190</v>
      </c>
      <c r="J28" s="6">
        <v>19</v>
      </c>
      <c r="K28" s="3" t="s">
        <v>52</v>
      </c>
      <c r="L28" s="8" t="s">
        <v>356</v>
      </c>
      <c r="M28" s="8" t="str">
        <f t="shared" si="1"/>
        <v>https://schnell-s3-image.s3.ap-south-1.amazonaws.com/luminator/424f8080-84f0-11f1-a840-15a1c8f215ef.jpg</v>
      </c>
      <c r="N28" s="6" t="s">
        <v>400</v>
      </c>
      <c r="O28" s="6" t="s">
        <v>162</v>
      </c>
      <c r="P28" s="7">
        <v>13.02338</v>
      </c>
      <c r="Q28" s="7">
        <v>77.632516699999996</v>
      </c>
      <c r="R28" s="4" t="s">
        <v>106</v>
      </c>
      <c r="S28" s="1">
        <v>1</v>
      </c>
      <c r="T28" s="1">
        <v>7</v>
      </c>
      <c r="U28" s="1">
        <v>0</v>
      </c>
      <c r="V28" s="1">
        <v>0</v>
      </c>
      <c r="W28" s="1">
        <v>0</v>
      </c>
      <c r="X28" s="1">
        <v>17</v>
      </c>
      <c r="Y28" s="1">
        <v>14</v>
      </c>
      <c r="Z28" s="1">
        <v>0</v>
      </c>
      <c r="AA28" s="1"/>
    </row>
    <row r="29" spans="1:27" x14ac:dyDescent="0.3">
      <c r="A29" s="6">
        <v>27</v>
      </c>
      <c r="B29" s="6">
        <v>106</v>
      </c>
      <c r="C29" s="6"/>
      <c r="D29" s="6" t="s">
        <v>295</v>
      </c>
      <c r="E29" s="6" t="s">
        <v>246</v>
      </c>
      <c r="F29" s="2"/>
      <c r="G29" s="8" t="str">
        <f>VLOOKUP(K29,[1]Sheet1!$B:$F,5,0)</f>
        <v>https://schnell-s3-image.s3.ap-south-1.amazonaws.com/luminator/236c1990-87b6-11f0-8b18-81df4d4b5f14.jpg</v>
      </c>
      <c r="H29" s="8" t="str">
        <f t="shared" si="0"/>
        <v>https://schnell-s3-image.s3.ap-south-1.amazonaws.com/luminator/236c1990-87b6-11f0-8b18-81df4d4b5f14.jpg</v>
      </c>
      <c r="I29" s="6" t="s">
        <v>191</v>
      </c>
      <c r="J29" s="6">
        <v>12</v>
      </c>
      <c r="K29" s="3" t="s">
        <v>53</v>
      </c>
      <c r="L29" s="8" t="s">
        <v>357</v>
      </c>
      <c r="M29" s="8" t="str">
        <f t="shared" si="1"/>
        <v>https://schnell-s3-image.s3.ap-south-1.amazonaws.com/luminator/9faf8200-83fd-11f1-b5f9-898e783c0825.jpg</v>
      </c>
      <c r="N29" s="6" t="s">
        <v>400</v>
      </c>
      <c r="O29" s="6" t="s">
        <v>162</v>
      </c>
      <c r="P29" s="7">
        <v>13.018380000000001</v>
      </c>
      <c r="Q29" s="7">
        <v>77.634614299999996</v>
      </c>
      <c r="R29" s="4" t="s">
        <v>107</v>
      </c>
      <c r="S29" s="1">
        <v>0</v>
      </c>
      <c r="T29" s="1">
        <v>2</v>
      </c>
      <c r="U29" s="1">
        <v>1</v>
      </c>
      <c r="V29" s="1">
        <v>0</v>
      </c>
      <c r="W29" s="1">
        <v>0</v>
      </c>
      <c r="X29" s="1">
        <v>4</v>
      </c>
      <c r="Y29" s="1">
        <v>2</v>
      </c>
      <c r="Z29" s="1">
        <v>0</v>
      </c>
      <c r="AA29" s="1"/>
    </row>
    <row r="30" spans="1:27" x14ac:dyDescent="0.3">
      <c r="A30" s="6">
        <v>28</v>
      </c>
      <c r="B30" s="6" t="s">
        <v>164</v>
      </c>
      <c r="C30" s="6"/>
      <c r="D30" s="6" t="s">
        <v>296</v>
      </c>
      <c r="E30" s="6">
        <v>41951778</v>
      </c>
      <c r="F30" s="2"/>
      <c r="G30" s="8" t="str">
        <f>VLOOKUP(K30,[1]Sheet1!$B:$F,5,0)</f>
        <v>https://schnell-s3-image.s3.ap-south-1.amazonaws.com/luminator/ade8c330-8896-11f0-89bc-f3fed757d0e9.jpg</v>
      </c>
      <c r="H30" s="8" t="str">
        <f t="shared" si="0"/>
        <v>https://schnell-s3-image.s3.ap-south-1.amazonaws.com/luminator/ade8c330-8896-11f0-89bc-f3fed757d0e9.jpg</v>
      </c>
      <c r="I30" s="6" t="s">
        <v>192</v>
      </c>
      <c r="J30" s="6">
        <v>4</v>
      </c>
      <c r="K30" s="3" t="s">
        <v>54</v>
      </c>
      <c r="L30" s="8" t="s">
        <v>358</v>
      </c>
      <c r="M30" s="8" t="str">
        <f t="shared" si="1"/>
        <v>https://schnell-s3-image.s3.ap-south-1.amazonaws.com/luminator/5fbcb730-84bb-11f1-ac4f-1f4fbc673e47.jpg</v>
      </c>
      <c r="N30" s="6" t="s">
        <v>400</v>
      </c>
      <c r="O30" s="6" t="s">
        <v>162</v>
      </c>
      <c r="P30" s="7">
        <v>13.0189</v>
      </c>
      <c r="Q30" s="7">
        <v>77.631102400000003</v>
      </c>
      <c r="R30" s="4" t="s">
        <v>108</v>
      </c>
      <c r="S30" s="1">
        <v>0</v>
      </c>
      <c r="T30" s="1">
        <v>12</v>
      </c>
      <c r="U30" s="1">
        <v>0</v>
      </c>
      <c r="V30" s="1">
        <v>0</v>
      </c>
      <c r="W30" s="1">
        <v>0</v>
      </c>
      <c r="X30" s="1">
        <v>24</v>
      </c>
      <c r="Y30" s="1">
        <v>0</v>
      </c>
      <c r="Z30" s="1">
        <v>0</v>
      </c>
      <c r="AA30" s="1"/>
    </row>
    <row r="31" spans="1:27" x14ac:dyDescent="0.3">
      <c r="A31" s="6">
        <v>29</v>
      </c>
      <c r="B31" s="6">
        <v>115</v>
      </c>
      <c r="C31" s="6"/>
      <c r="D31" s="6" t="s">
        <v>297</v>
      </c>
      <c r="E31" s="6" t="s">
        <v>247</v>
      </c>
      <c r="F31" s="2"/>
      <c r="G31" s="8" t="str">
        <f>VLOOKUP(K31,[1]Sheet1!$B:$F,5,0)</f>
        <v>https://schnell-s3-image.s3.ap-south-1.amazonaws.com/luminator/5ee68760-8984-11f0-8f69-07d99c57aac0.jpg</v>
      </c>
      <c r="H31" s="8" t="str">
        <f t="shared" si="0"/>
        <v>https://schnell-s3-image.s3.ap-south-1.amazonaws.com/luminator/5ee68760-8984-11f0-8f69-07d99c57aac0.jpg</v>
      </c>
      <c r="I31" s="6" t="s">
        <v>193</v>
      </c>
      <c r="J31" s="6">
        <v>11</v>
      </c>
      <c r="K31" s="3" t="s">
        <v>55</v>
      </c>
      <c r="L31" s="8" t="s">
        <v>359</v>
      </c>
      <c r="M31" s="8" t="str">
        <f t="shared" si="1"/>
        <v>https://schnell-s3-image.s3.ap-south-1.amazonaws.com/luminator/beb8e660-84e2-11f1-9a18-61ba6dbfec75.jpg</v>
      </c>
      <c r="N31" s="6" t="s">
        <v>400</v>
      </c>
      <c r="O31" s="6" t="s">
        <v>163</v>
      </c>
      <c r="P31" s="7">
        <v>13.02084</v>
      </c>
      <c r="Q31" s="7">
        <v>77.634968799999996</v>
      </c>
      <c r="R31" s="4" t="s">
        <v>102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23</v>
      </c>
      <c r="Y31" s="1">
        <v>9</v>
      </c>
      <c r="Z31" s="1">
        <v>0</v>
      </c>
      <c r="AA31" s="1"/>
    </row>
    <row r="32" spans="1:27" x14ac:dyDescent="0.3">
      <c r="A32" s="6">
        <v>30</v>
      </c>
      <c r="B32" s="6">
        <v>183</v>
      </c>
      <c r="C32" s="6"/>
      <c r="D32" s="6" t="s">
        <v>298</v>
      </c>
      <c r="E32" s="6">
        <v>2926209</v>
      </c>
      <c r="F32" s="2"/>
      <c r="G32" s="8" t="str">
        <f>VLOOKUP(K32,[1]Sheet1!$B:$F,5,0)</f>
        <v>https://schnell-s3-image.s3.ap-south-1.amazonaws.com/luminator/411ac430-8880-11f0-954c-8d0843525254.jpg</v>
      </c>
      <c r="H32" s="8" t="str">
        <f t="shared" si="0"/>
        <v>https://schnell-s3-image.s3.ap-south-1.amazonaws.com/luminator/411ac430-8880-11f0-954c-8d0843525254.jpg</v>
      </c>
      <c r="I32" s="6" t="s">
        <v>194</v>
      </c>
      <c r="J32" s="6">
        <v>5</v>
      </c>
      <c r="K32" s="3" t="s">
        <v>56</v>
      </c>
      <c r="L32" s="8" t="s">
        <v>360</v>
      </c>
      <c r="M32" s="8" t="str">
        <f t="shared" si="1"/>
        <v>https://schnell-s3-image.s3.ap-south-1.amazonaws.com/luminator/2bb10180-841b-11f1-9b36-cb9db4d8202f.jpg</v>
      </c>
      <c r="N32" s="6" t="s">
        <v>400</v>
      </c>
      <c r="O32" s="6" t="s">
        <v>162</v>
      </c>
      <c r="P32" s="7">
        <v>13.01737</v>
      </c>
      <c r="Q32" s="7">
        <v>77.634369100000001</v>
      </c>
      <c r="R32" s="4" t="s">
        <v>109</v>
      </c>
      <c r="S32" s="1">
        <v>0</v>
      </c>
      <c r="T32" s="1">
        <v>11</v>
      </c>
      <c r="U32" s="1">
        <v>2</v>
      </c>
      <c r="V32" s="1">
        <v>0</v>
      </c>
      <c r="W32" s="1">
        <v>0</v>
      </c>
      <c r="X32" s="1">
        <v>16</v>
      </c>
      <c r="Y32" s="1">
        <v>6</v>
      </c>
      <c r="Z32" s="1">
        <v>0</v>
      </c>
      <c r="AA32" s="1"/>
    </row>
    <row r="33" spans="1:27" x14ac:dyDescent="0.3">
      <c r="A33" s="6">
        <v>31</v>
      </c>
      <c r="B33" s="6">
        <v>24</v>
      </c>
      <c r="C33" s="6"/>
      <c r="D33" s="6" t="s">
        <v>299</v>
      </c>
      <c r="E33" s="6" t="s">
        <v>248</v>
      </c>
      <c r="F33" s="2"/>
      <c r="G33" s="8" t="str">
        <f>VLOOKUP(K33,[1]Sheet1!$B:$F,5,0)</f>
        <v>https://schnell-s3-image.s3.ap-south-1.amazonaws.com/luminator/85be43c0-889c-11f0-82e5-ff5bb50178d9.jpg</v>
      </c>
      <c r="H33" s="8" t="str">
        <f t="shared" si="0"/>
        <v>https://schnell-s3-image.s3.ap-south-1.amazonaws.com/luminator/85be43c0-889c-11f0-82e5-ff5bb50178d9.jpg</v>
      </c>
      <c r="I33" s="6" t="s">
        <v>195</v>
      </c>
      <c r="J33" s="6">
        <v>7</v>
      </c>
      <c r="K33" s="3" t="s">
        <v>57</v>
      </c>
      <c r="L33" s="8" t="s">
        <v>361</v>
      </c>
      <c r="M33" s="8" t="str">
        <f t="shared" si="1"/>
        <v>https://schnell-s3-image.s3.ap-south-1.amazonaws.com/luminator/ac7acd80-84cc-11f1-be0f-1732a115c61f.jpg</v>
      </c>
      <c r="N33" s="6" t="s">
        <v>400</v>
      </c>
      <c r="O33" s="6" t="s">
        <v>163</v>
      </c>
      <c r="P33" s="7">
        <v>13.02089</v>
      </c>
      <c r="Q33" s="7">
        <v>77.632940099999999</v>
      </c>
      <c r="R33" s="4" t="s">
        <v>110</v>
      </c>
      <c r="S33" s="1">
        <v>0</v>
      </c>
      <c r="T33" s="1">
        <v>4</v>
      </c>
      <c r="U33" s="1">
        <v>5</v>
      </c>
      <c r="V33" s="1">
        <v>0</v>
      </c>
      <c r="W33" s="1">
        <v>0</v>
      </c>
      <c r="X33" s="1">
        <v>34</v>
      </c>
      <c r="Y33" s="1">
        <v>8</v>
      </c>
      <c r="Z33" s="1">
        <v>0</v>
      </c>
      <c r="AA33" s="1"/>
    </row>
    <row r="34" spans="1:27" x14ac:dyDescent="0.3">
      <c r="A34" s="6">
        <v>32</v>
      </c>
      <c r="B34" s="6">
        <v>51</v>
      </c>
      <c r="C34" s="6"/>
      <c r="D34" s="6" t="s">
        <v>300</v>
      </c>
      <c r="E34" s="6">
        <v>50255342</v>
      </c>
      <c r="F34" s="2"/>
      <c r="G34" s="8" t="str">
        <f>VLOOKUP(K34,[1]Sheet1!$B:$F,5,0)</f>
        <v>https://schnell-s3-image.s3.ap-south-1.amazonaws.com/luminator/94081d10-87b7-11f0-8b18-81df4d4b5f14.jpg</v>
      </c>
      <c r="H34" s="8" t="str">
        <f t="shared" si="0"/>
        <v>https://schnell-s3-image.s3.ap-south-1.amazonaws.com/luminator/94081d10-87b7-11f0-8b18-81df4d4b5f14.jpg</v>
      </c>
      <c r="I34" s="6" t="s">
        <v>196</v>
      </c>
      <c r="J34" s="6">
        <v>15</v>
      </c>
      <c r="K34" s="3" t="s">
        <v>58</v>
      </c>
      <c r="L34" s="8" t="s">
        <v>362</v>
      </c>
      <c r="M34" s="8" t="str">
        <f t="shared" si="1"/>
        <v>https://schnell-s3-image.s3.ap-south-1.amazonaws.com/luminator/f8558890-83f4-11f1-84fc-23af879bd1bf.jpg</v>
      </c>
      <c r="N34" s="6" t="s">
        <v>400</v>
      </c>
      <c r="O34" s="6" t="s">
        <v>162</v>
      </c>
      <c r="P34" s="7">
        <v>13.018509999999999</v>
      </c>
      <c r="Q34" s="7">
        <v>77.633765699999998</v>
      </c>
      <c r="R34" s="4" t="s">
        <v>111</v>
      </c>
      <c r="S34" s="1">
        <v>1</v>
      </c>
      <c r="T34" s="1">
        <v>0</v>
      </c>
      <c r="U34" s="1">
        <v>4</v>
      </c>
      <c r="V34" s="1">
        <v>0</v>
      </c>
      <c r="W34" s="1">
        <v>0</v>
      </c>
      <c r="X34" s="1">
        <v>42</v>
      </c>
      <c r="Y34" s="1">
        <v>5</v>
      </c>
      <c r="Z34" s="1">
        <v>0</v>
      </c>
      <c r="AA34" s="1"/>
    </row>
    <row r="35" spans="1:27" x14ac:dyDescent="0.3">
      <c r="A35" s="6">
        <v>33</v>
      </c>
      <c r="B35" s="6">
        <v>75</v>
      </c>
      <c r="C35" s="6"/>
      <c r="D35" s="6" t="s">
        <v>301</v>
      </c>
      <c r="E35" s="6" t="s">
        <v>249</v>
      </c>
      <c r="F35" s="2"/>
      <c r="G35" s="8" t="str">
        <f>VLOOKUP(K35,[1]Sheet1!$B:$F,5,0)</f>
        <v>https://schnell-s3-image.s3.ap-south-1.amazonaws.com/luminator/c415d1b0-8879-11f0-bc53-81e64102e94c.jpg</v>
      </c>
      <c r="H35" s="8" t="str">
        <f t="shared" si="0"/>
        <v>https://schnell-s3-image.s3.ap-south-1.amazonaws.com/luminator/c415d1b0-8879-11f0-bc53-81e64102e94c.jpg</v>
      </c>
      <c r="I35" s="6" t="s">
        <v>197</v>
      </c>
      <c r="J35" s="6">
        <v>31</v>
      </c>
      <c r="K35" s="3" t="s">
        <v>59</v>
      </c>
      <c r="L35" s="8" t="s">
        <v>363</v>
      </c>
      <c r="M35" s="8" t="str">
        <f t="shared" si="1"/>
        <v>https://schnell-s3-image.s3.ap-south-1.amazonaws.com/luminator/30fa03d0-8272-11f1-ad88-ebdcfdd8f667.jpg</v>
      </c>
      <c r="N35" s="6" t="s">
        <v>400</v>
      </c>
      <c r="O35" s="6" t="s">
        <v>162</v>
      </c>
      <c r="P35" s="7">
        <v>13.016909999999999</v>
      </c>
      <c r="Q35" s="7">
        <v>77.633548300000001</v>
      </c>
      <c r="R35" s="4" t="s">
        <v>112</v>
      </c>
      <c r="S35" s="1">
        <v>0</v>
      </c>
      <c r="T35" s="1">
        <v>3</v>
      </c>
      <c r="U35" s="1">
        <v>1</v>
      </c>
      <c r="V35" s="1">
        <v>0</v>
      </c>
      <c r="W35" s="1">
        <v>0</v>
      </c>
      <c r="X35" s="1">
        <v>31</v>
      </c>
      <c r="Y35" s="1">
        <v>5</v>
      </c>
      <c r="Z35" s="1">
        <v>0</v>
      </c>
      <c r="AA35" s="1"/>
    </row>
    <row r="36" spans="1:27" x14ac:dyDescent="0.3">
      <c r="A36" s="6">
        <v>34</v>
      </c>
      <c r="B36" s="6">
        <v>105</v>
      </c>
      <c r="C36" s="6"/>
      <c r="D36" s="6" t="s">
        <v>302</v>
      </c>
      <c r="E36" s="6">
        <v>41718790</v>
      </c>
      <c r="F36" s="2"/>
      <c r="G36" s="8" t="str">
        <f>VLOOKUP(K36,[1]Sheet1!$B:$F,5,0)</f>
        <v>https://schnell-s3-image.s3.ap-south-1.amazonaws.com/luminator/b6533e10-871f-11f0-b57f-b5c67c4457e6.jpg</v>
      </c>
      <c r="H36" s="8" t="str">
        <f t="shared" si="0"/>
        <v>https://schnell-s3-image.s3.ap-south-1.amazonaws.com/luminator/b6533e10-871f-11f0-b57f-b5c67c4457e6.jpg</v>
      </c>
      <c r="I36" s="6" t="s">
        <v>198</v>
      </c>
      <c r="J36" s="6">
        <v>14</v>
      </c>
      <c r="K36" s="3" t="s">
        <v>60</v>
      </c>
      <c r="L36" s="8" t="s">
        <v>364</v>
      </c>
      <c r="M36" s="8" t="str">
        <f t="shared" si="1"/>
        <v>https://schnell-s3-image.s3.ap-south-1.amazonaws.com/luminator/f81360c0-81d6-11f1-85dc-8b88c1786555.jpg</v>
      </c>
      <c r="N36" s="6" t="s">
        <v>400</v>
      </c>
      <c r="O36" s="6" t="s">
        <v>162</v>
      </c>
      <c r="P36" s="7">
        <v>13.01483</v>
      </c>
      <c r="Q36" s="7">
        <v>77.631713500000004</v>
      </c>
      <c r="R36" s="4" t="s">
        <v>113</v>
      </c>
      <c r="S36" s="1">
        <v>0</v>
      </c>
      <c r="T36" s="1">
        <v>2</v>
      </c>
      <c r="U36" s="1">
        <v>0</v>
      </c>
      <c r="V36" s="1">
        <v>0</v>
      </c>
      <c r="W36" s="1">
        <v>0</v>
      </c>
      <c r="X36" s="1">
        <v>14</v>
      </c>
      <c r="Y36" s="1">
        <v>0</v>
      </c>
      <c r="Z36" s="1">
        <v>0</v>
      </c>
      <c r="AA36" s="1"/>
    </row>
    <row r="37" spans="1:27" x14ac:dyDescent="0.3">
      <c r="A37" s="6">
        <v>35</v>
      </c>
      <c r="B37" s="6">
        <v>152</v>
      </c>
      <c r="C37" s="6"/>
      <c r="D37" s="6" t="s">
        <v>303</v>
      </c>
      <c r="E37" s="6">
        <v>50084449</v>
      </c>
      <c r="F37" s="2"/>
      <c r="G37" s="8" t="str">
        <f>VLOOKUP(K37,[1]Sheet1!$B:$F,5,0)</f>
        <v>https://schnell-s3-image.s3.ap-south-1.amazonaws.com/luminator/e9fb1c60-8710-11f0-9d8d-a3fdabbff8cb.jpg</v>
      </c>
      <c r="H37" s="8" t="str">
        <f t="shared" si="0"/>
        <v>https://schnell-s3-image.s3.ap-south-1.amazonaws.com/luminator/e9fb1c60-8710-11f0-9d8d-a3fdabbff8cb.jpg</v>
      </c>
      <c r="I37" s="6" t="s">
        <v>199</v>
      </c>
      <c r="J37" s="6">
        <v>12</v>
      </c>
      <c r="K37" s="3" t="s">
        <v>61</v>
      </c>
      <c r="L37" s="8" t="s">
        <v>365</v>
      </c>
      <c r="M37" s="8" t="str">
        <f t="shared" si="1"/>
        <v>https://schnell-s3-image.s3.ap-south-1.amazonaws.com/luminator/93b45c10-819f-11f1-8b31-81e0f908bb42.jpg</v>
      </c>
      <c r="N37" s="6" t="s">
        <v>400</v>
      </c>
      <c r="O37" s="6" t="s">
        <v>162</v>
      </c>
      <c r="P37" s="7">
        <v>13.012919999999999</v>
      </c>
      <c r="Q37" s="7">
        <v>77.633316100000002</v>
      </c>
      <c r="R37" s="4" t="s">
        <v>114</v>
      </c>
      <c r="S37" s="1">
        <v>0</v>
      </c>
      <c r="T37" s="1">
        <v>2</v>
      </c>
      <c r="U37" s="1">
        <v>0</v>
      </c>
      <c r="V37" s="1">
        <v>0</v>
      </c>
      <c r="W37" s="1">
        <v>0</v>
      </c>
      <c r="X37" s="1">
        <v>9</v>
      </c>
      <c r="Y37" s="1">
        <v>7</v>
      </c>
      <c r="Z37" s="1">
        <v>0</v>
      </c>
      <c r="AA37" s="1"/>
    </row>
    <row r="38" spans="1:27" x14ac:dyDescent="0.3">
      <c r="A38" s="6">
        <v>36</v>
      </c>
      <c r="B38" s="6">
        <v>176</v>
      </c>
      <c r="C38" s="6"/>
      <c r="D38" s="6" t="s">
        <v>304</v>
      </c>
      <c r="E38" s="6">
        <v>50773195</v>
      </c>
      <c r="F38" s="2"/>
      <c r="G38" s="8" t="str">
        <f>VLOOKUP(K38,[1]Sheet1!$B:$F,5,0)</f>
        <v>https://schnell-s3-image.s3.ap-south-1.amazonaws.com/luminator/4168f400-8a1c-11f0-a387-01526feb4ed8.jpg</v>
      </c>
      <c r="H38" s="8" t="str">
        <f t="shared" si="0"/>
        <v>https://schnell-s3-image.s3.ap-south-1.amazonaws.com/luminator/4168f400-8a1c-11f0-a387-01526feb4ed8.jpg</v>
      </c>
      <c r="I38" s="6" t="s">
        <v>200</v>
      </c>
      <c r="J38" s="6">
        <v>5</v>
      </c>
      <c r="K38" s="3" t="s">
        <v>62</v>
      </c>
      <c r="L38" s="8" t="s">
        <v>366</v>
      </c>
      <c r="M38" s="8" t="str">
        <f t="shared" si="1"/>
        <v>https://schnell-s3-image.s3.ap-south-1.amazonaws.com/luminator/1a37fdb0-85c3-11f1-bf23-75db083f6f82.jpg</v>
      </c>
      <c r="N38" s="6" t="s">
        <v>400</v>
      </c>
      <c r="O38" s="6" t="s">
        <v>162</v>
      </c>
      <c r="P38" s="7">
        <v>13.025690000000001</v>
      </c>
      <c r="Q38" s="7">
        <v>77.633373300000002</v>
      </c>
      <c r="R38" s="4" t="s">
        <v>115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20</v>
      </c>
      <c r="Y38" s="1">
        <v>0</v>
      </c>
      <c r="Z38" s="1">
        <v>0</v>
      </c>
      <c r="AA38" s="1"/>
    </row>
    <row r="39" spans="1:27" x14ac:dyDescent="0.3">
      <c r="A39" s="6">
        <v>37</v>
      </c>
      <c r="B39" s="6">
        <v>63</v>
      </c>
      <c r="C39" s="6"/>
      <c r="D39" s="6" t="s">
        <v>305</v>
      </c>
      <c r="E39" s="6" t="s">
        <v>164</v>
      </c>
      <c r="F39" s="2"/>
      <c r="G39" s="8" t="str">
        <f>VLOOKUP(K39,[1]Sheet1!$B:$F,5,0)</f>
        <v>https://schnell-s3-image.s3.ap-south-1.amazonaws.com/luminator/8fb8a580-8e0c-11f0-b87f-73f962479b75.jpg</v>
      </c>
      <c r="H39" s="8" t="str">
        <f t="shared" si="0"/>
        <v>https://schnell-s3-image.s3.ap-south-1.amazonaws.com/luminator/8fb8a580-8e0c-11f0-b87f-73f962479b75.jpg</v>
      </c>
      <c r="I39" s="6" t="s">
        <v>201</v>
      </c>
      <c r="J39" s="6">
        <v>28</v>
      </c>
      <c r="K39" s="3" t="s">
        <v>63</v>
      </c>
      <c r="L39" s="8" t="s">
        <v>367</v>
      </c>
      <c r="M39" s="8" t="str">
        <f t="shared" si="1"/>
        <v>https://schnell-s3-image.s3.ap-south-1.amazonaws.com/luminator/3b856d40-85b9-11f1-8d50-4d72c62b01ea.jpg</v>
      </c>
      <c r="N39" s="6" t="s">
        <v>400</v>
      </c>
      <c r="O39" s="6" t="s">
        <v>162</v>
      </c>
      <c r="P39" s="7">
        <v>13.02481</v>
      </c>
      <c r="Q39" s="7">
        <v>77.636468300000004</v>
      </c>
      <c r="R39" s="4" t="s">
        <v>116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15</v>
      </c>
      <c r="Y39" s="1">
        <v>0</v>
      </c>
      <c r="Z39" s="1">
        <v>0</v>
      </c>
      <c r="AA39" s="1"/>
    </row>
    <row r="40" spans="1:27" x14ac:dyDescent="0.3">
      <c r="A40" s="6">
        <v>38</v>
      </c>
      <c r="B40" s="6" t="s">
        <v>164</v>
      </c>
      <c r="C40" s="6"/>
      <c r="D40" s="6" t="s">
        <v>306</v>
      </c>
      <c r="E40" s="6" t="s">
        <v>250</v>
      </c>
      <c r="F40" s="2"/>
      <c r="G40" s="8" t="str">
        <f>VLOOKUP(K40,[1]Sheet1!$B:$F,5,0)</f>
        <v>https://schnell-s3-image.s3.ap-south-1.amazonaws.com/luminator/8fb8a580-8e0c-11f0-b87f-73f962479b75.jpg</v>
      </c>
      <c r="H40" s="8" t="str">
        <f t="shared" si="0"/>
        <v>https://schnell-s3-image.s3.ap-south-1.amazonaws.com/luminator/8fb8a580-8e0c-11f0-b87f-73f962479b75.jpg</v>
      </c>
      <c r="I40" s="6" t="s">
        <v>202</v>
      </c>
      <c r="J40" s="6">
        <v>4</v>
      </c>
      <c r="K40" s="3" t="s">
        <v>64</v>
      </c>
      <c r="L40" s="8" t="s">
        <v>368</v>
      </c>
      <c r="M40" s="8" t="str">
        <f t="shared" si="1"/>
        <v>https://schnell-s3-image.s3.ap-south-1.amazonaws.com/luminator/38138bf0-85a1-11f1-ab3e-41dad1588b3c.jpg</v>
      </c>
      <c r="N40" s="6" t="s">
        <v>400</v>
      </c>
      <c r="O40" s="6" t="s">
        <v>162</v>
      </c>
      <c r="P40" s="7">
        <v>13.02439</v>
      </c>
      <c r="Q40" s="7">
        <v>77.6360581</v>
      </c>
      <c r="R40" s="4" t="s">
        <v>117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8</v>
      </c>
      <c r="Y40" s="1">
        <v>0</v>
      </c>
      <c r="Z40" s="1">
        <v>0</v>
      </c>
      <c r="AA40" s="1"/>
    </row>
    <row r="41" spans="1:27" x14ac:dyDescent="0.3">
      <c r="A41" s="6">
        <v>39</v>
      </c>
      <c r="B41" s="6">
        <v>22</v>
      </c>
      <c r="C41" s="6"/>
      <c r="D41" s="6">
        <v>26</v>
      </c>
      <c r="E41" s="6">
        <v>22231749</v>
      </c>
      <c r="F41" s="2"/>
      <c r="G41" s="8" t="str">
        <f>VLOOKUP(K41,[1]Sheet1!$B:$F,5,0)</f>
        <v>https://schnell-s3-image.s3.ap-south-1.amazonaws.com/luminator/b85606f0-8a14-11f0-ab17-7f00e1430299.jpg</v>
      </c>
      <c r="H41" s="8" t="str">
        <f t="shared" si="0"/>
        <v>https://schnell-s3-image.s3.ap-south-1.amazonaws.com/luminator/b85606f0-8a14-11f0-ab17-7f00e1430299.jpg</v>
      </c>
      <c r="I41" s="6" t="s">
        <v>203</v>
      </c>
      <c r="J41" s="6">
        <v>3</v>
      </c>
      <c r="K41" s="3" t="s">
        <v>65</v>
      </c>
      <c r="L41" s="8" t="s">
        <v>369</v>
      </c>
      <c r="M41" s="8" t="str">
        <f t="shared" si="1"/>
        <v>https://schnell-s3-image.s3.ap-south-1.amazonaws.com/luminator/931ea670-85aa-11f1-9a29-3960839a024b.jpg</v>
      </c>
      <c r="N41" s="6" t="s">
        <v>400</v>
      </c>
      <c r="O41" s="6" t="s">
        <v>162</v>
      </c>
      <c r="P41" s="7">
        <v>13.023899999999999</v>
      </c>
      <c r="Q41" s="7">
        <v>77.636107100000004</v>
      </c>
      <c r="R41" s="4" t="s">
        <v>118</v>
      </c>
      <c r="S41" s="1">
        <v>0</v>
      </c>
      <c r="T41" s="1">
        <v>3</v>
      </c>
      <c r="U41" s="1">
        <v>0</v>
      </c>
      <c r="V41" s="1">
        <v>0</v>
      </c>
      <c r="W41" s="1">
        <v>0</v>
      </c>
      <c r="X41" s="1">
        <v>9</v>
      </c>
      <c r="Y41" s="1">
        <v>0</v>
      </c>
      <c r="Z41" s="1">
        <v>0</v>
      </c>
      <c r="AA41" s="1"/>
    </row>
    <row r="42" spans="1:27" x14ac:dyDescent="0.3">
      <c r="A42" s="6">
        <v>40</v>
      </c>
      <c r="B42" s="6">
        <v>23</v>
      </c>
      <c r="C42" s="6"/>
      <c r="D42" s="6" t="s">
        <v>307</v>
      </c>
      <c r="E42" s="6" t="s">
        <v>251</v>
      </c>
      <c r="F42" s="2"/>
      <c r="G42" s="8" t="str">
        <f>VLOOKUP(K42,[1]Sheet1!$B:$F,5,0)</f>
        <v>https://schnell-s3-image.s3.ap-south-1.amazonaws.com/luminator/b85606f0-8a14-11f0-ab17-7f00e1430299.jpg</v>
      </c>
      <c r="H42" s="8" t="str">
        <f t="shared" si="0"/>
        <v>https://schnell-s3-image.s3.ap-south-1.amazonaws.com/luminator/b85606f0-8a14-11f0-ab17-7f00e1430299.jpg</v>
      </c>
      <c r="I42" s="6" t="s">
        <v>204</v>
      </c>
      <c r="J42" s="6">
        <v>15</v>
      </c>
      <c r="K42" s="3" t="s">
        <v>66</v>
      </c>
      <c r="L42" s="8" t="s">
        <v>370</v>
      </c>
      <c r="M42" s="8" t="str">
        <f t="shared" si="1"/>
        <v>https://schnell-s3-image.s3.ap-south-1.amazonaws.com/luminator/39489510-8597-11f1-a6f3-c56ae01fceeb.jpg</v>
      </c>
      <c r="N42" s="6" t="s">
        <v>400</v>
      </c>
      <c r="O42" s="6" t="s">
        <v>162</v>
      </c>
      <c r="P42" s="7">
        <v>13.02383</v>
      </c>
      <c r="Q42" s="7">
        <v>77.634389600000006</v>
      </c>
      <c r="R42" s="4" t="s">
        <v>119</v>
      </c>
      <c r="S42" s="1">
        <v>0</v>
      </c>
      <c r="T42" s="1">
        <v>6</v>
      </c>
      <c r="U42" s="1">
        <v>0</v>
      </c>
      <c r="V42" s="1">
        <v>0</v>
      </c>
      <c r="W42" s="1">
        <v>0</v>
      </c>
      <c r="X42" s="1">
        <v>12</v>
      </c>
      <c r="Y42" s="1">
        <v>0</v>
      </c>
      <c r="Z42" s="1">
        <v>0</v>
      </c>
      <c r="AA42" s="1"/>
    </row>
    <row r="43" spans="1:27" x14ac:dyDescent="0.3">
      <c r="A43" s="6">
        <v>41</v>
      </c>
      <c r="B43" s="6">
        <v>23</v>
      </c>
      <c r="C43" s="6"/>
      <c r="D43" s="6" t="s">
        <v>308</v>
      </c>
      <c r="E43" s="6" t="s">
        <v>252</v>
      </c>
      <c r="F43" s="2"/>
      <c r="G43" s="8" t="str">
        <f>VLOOKUP(K43,[1]Sheet1!$B:$F,5,0)</f>
        <v>https://schnell-s3-image.s3.ap-south-1.amazonaws.com/luminator/9e247550-896f-11f0-80e0-313b26e07021.jpg</v>
      </c>
      <c r="H43" s="8" t="str">
        <f t="shared" si="0"/>
        <v>https://schnell-s3-image.s3.ap-south-1.amazonaws.com/luminator/9e247550-896f-11f0-80e0-313b26e07021.jpg</v>
      </c>
      <c r="I43" s="6" t="s">
        <v>205</v>
      </c>
      <c r="J43" s="6">
        <v>5</v>
      </c>
      <c r="K43" s="3" t="s">
        <v>67</v>
      </c>
      <c r="L43" s="8" t="s">
        <v>371</v>
      </c>
      <c r="M43" s="8" t="str">
        <f t="shared" si="1"/>
        <v>https://schnell-s3-image.s3.ap-south-1.amazonaws.com/luminator/20b3e0c0-8585-11f1-97d7-55b9ef1cdbf3.jpg</v>
      </c>
      <c r="N43" s="6" t="s">
        <v>400</v>
      </c>
      <c r="O43" s="6" t="s">
        <v>162</v>
      </c>
      <c r="P43" s="7">
        <v>13.023580000000001</v>
      </c>
      <c r="Q43" s="7">
        <v>77.633936399999996</v>
      </c>
      <c r="R43" s="4" t="s">
        <v>120</v>
      </c>
      <c r="S43" s="1">
        <v>0</v>
      </c>
      <c r="T43" s="1">
        <v>1</v>
      </c>
      <c r="U43" s="1">
        <v>2</v>
      </c>
      <c r="V43" s="1">
        <v>0</v>
      </c>
      <c r="W43" s="1">
        <v>0</v>
      </c>
      <c r="X43" s="1">
        <v>16</v>
      </c>
      <c r="Y43" s="1">
        <v>6</v>
      </c>
      <c r="Z43" s="1">
        <v>0</v>
      </c>
      <c r="AA43" s="1"/>
    </row>
    <row r="44" spans="1:27" x14ac:dyDescent="0.3">
      <c r="A44" s="6">
        <v>42</v>
      </c>
      <c r="B44" s="6">
        <v>176</v>
      </c>
      <c r="C44" s="6"/>
      <c r="D44" s="6" t="s">
        <v>309</v>
      </c>
      <c r="E44" s="6" t="s">
        <v>253</v>
      </c>
      <c r="F44" s="2"/>
      <c r="G44" s="8" t="str">
        <f>VLOOKUP(K44,[1]Sheet1!$B:$F,5,0)</f>
        <v>https://schnell-s3-image.s3.ap-south-1.amazonaws.com/luminator/b3fb78f0-86ff-11f0-ae48-85037efca68c.jpg</v>
      </c>
      <c r="H44" s="8" t="str">
        <f t="shared" si="0"/>
        <v>https://schnell-s3-image.s3.ap-south-1.amazonaws.com/luminator/b3fb78f0-86ff-11f0-ae48-85037efca68c.jpg</v>
      </c>
      <c r="I44" s="6" t="s">
        <v>206</v>
      </c>
      <c r="J44" s="6">
        <v>11</v>
      </c>
      <c r="K44" s="3" t="s">
        <v>68</v>
      </c>
      <c r="L44" s="8" t="s">
        <v>372</v>
      </c>
      <c r="M44" s="8" t="str">
        <f t="shared" si="1"/>
        <v>https://schnell-s3-image.s3.ap-south-1.amazonaws.com/luminator/1adbd1e0-858e-11f1-9572-df409fe34325.jpg</v>
      </c>
      <c r="N44" s="6" t="s">
        <v>400</v>
      </c>
      <c r="O44" s="6" t="s">
        <v>162</v>
      </c>
      <c r="P44" s="7">
        <v>13.023949999999999</v>
      </c>
      <c r="Q44" s="7">
        <v>77.633978299999995</v>
      </c>
      <c r="R44" s="4" t="s">
        <v>121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23</v>
      </c>
      <c r="Y44" s="1">
        <v>0</v>
      </c>
      <c r="Z44" s="1">
        <v>0</v>
      </c>
      <c r="AA44" s="1"/>
    </row>
    <row r="45" spans="1:27" x14ac:dyDescent="0.3">
      <c r="A45" s="6">
        <v>43</v>
      </c>
      <c r="B45" s="6">
        <v>237</v>
      </c>
      <c r="C45" s="6"/>
      <c r="D45" s="6" t="s">
        <v>310</v>
      </c>
      <c r="E45" s="6" t="s">
        <v>254</v>
      </c>
      <c r="F45" s="2"/>
      <c r="G45" s="8" t="str">
        <f>VLOOKUP(K45,[1]Sheet1!$B:$F,5,0)</f>
        <v>https://schnell-s3-image.s3.ap-south-1.amazonaws.com/luminator/7a106de0-8988-11f0-93e8-8f05b8376ce8.jpg</v>
      </c>
      <c r="H45" s="8" t="str">
        <f t="shared" si="0"/>
        <v>https://schnell-s3-image.s3.ap-south-1.amazonaws.com/luminator/7a106de0-8988-11f0-93e8-8f05b8376ce8.jpg</v>
      </c>
      <c r="I45" s="6" t="s">
        <v>207</v>
      </c>
      <c r="J45" s="6">
        <v>4</v>
      </c>
      <c r="K45" s="3" t="s">
        <v>69</v>
      </c>
      <c r="L45" s="8" t="s">
        <v>373</v>
      </c>
      <c r="M45" s="8" t="str">
        <f t="shared" si="1"/>
        <v>https://schnell-s3-image.s3.ap-south-1.amazonaws.com/luminator/3b71f2c0-865d-11f1-82d1-5d2ffdb45a94.jpg</v>
      </c>
      <c r="N45" s="6" t="s">
        <v>400</v>
      </c>
      <c r="O45" s="6" t="s">
        <v>162</v>
      </c>
      <c r="P45" s="7">
        <v>13.019936700000001</v>
      </c>
      <c r="Q45" s="7">
        <v>77.634344299999995</v>
      </c>
      <c r="R45" s="4" t="s">
        <v>122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12</v>
      </c>
      <c r="Y45" s="1">
        <v>6</v>
      </c>
      <c r="Z45" s="1">
        <v>0</v>
      </c>
      <c r="AA45" s="1"/>
    </row>
    <row r="46" spans="1:27" x14ac:dyDescent="0.3">
      <c r="A46" s="6">
        <v>44</v>
      </c>
      <c r="B46" s="6" t="s">
        <v>164</v>
      </c>
      <c r="C46" s="6"/>
      <c r="D46" s="6" t="s">
        <v>311</v>
      </c>
      <c r="E46" s="6">
        <v>2923807</v>
      </c>
      <c r="F46" s="2"/>
      <c r="G46" s="8" t="str">
        <f>VLOOKUP(K46,[1]Sheet1!$B:$F,5,0)</f>
        <v>https://schnell-s3-image.s3.ap-south-1.amazonaws.com/luminator/6239c720-8e10-11f0-b87f-73f962479b75.jpg</v>
      </c>
      <c r="H46" s="8" t="str">
        <f t="shared" si="0"/>
        <v>https://schnell-s3-image.s3.ap-south-1.amazonaws.com/luminator/6239c720-8e10-11f0-b87f-73f962479b75.jpg</v>
      </c>
      <c r="I46" s="6" t="s">
        <v>208</v>
      </c>
      <c r="J46" s="6">
        <v>14</v>
      </c>
      <c r="K46" s="3" t="s">
        <v>70</v>
      </c>
      <c r="L46" s="8" t="s">
        <v>374</v>
      </c>
      <c r="M46" s="8" t="str">
        <f t="shared" si="1"/>
        <v>https://schnell-s3-image.s3.ap-south-1.amazonaws.com/luminator/8b930f60-865c-11f1-8555-d1c0a68a66e0.jpg</v>
      </c>
      <c r="N46" s="6" t="s">
        <v>400</v>
      </c>
      <c r="O46" s="6" t="s">
        <v>162</v>
      </c>
      <c r="P46" s="7">
        <v>13.0245899</v>
      </c>
      <c r="Q46" s="7">
        <v>77.639394999999993</v>
      </c>
      <c r="R46" s="4" t="s">
        <v>123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22</v>
      </c>
      <c r="Y46" s="1">
        <v>8</v>
      </c>
      <c r="Z46" s="1">
        <v>0</v>
      </c>
      <c r="AA46" s="1"/>
    </row>
    <row r="47" spans="1:27" x14ac:dyDescent="0.3">
      <c r="A47" s="6">
        <v>45</v>
      </c>
      <c r="B47" s="6" t="s">
        <v>164</v>
      </c>
      <c r="C47" s="6"/>
      <c r="D47" s="6" t="s">
        <v>312</v>
      </c>
      <c r="E47" s="6">
        <v>2927108</v>
      </c>
      <c r="F47" s="2"/>
      <c r="G47" s="8" t="str">
        <f>VLOOKUP(K47,[1]Sheet1!$B:$F,5,0)</f>
        <v>https://schnell-s3-image.s3.ap-south-1.amazonaws.com/luminator/81963c50-8e2b-11f0-a4c3-99a6d3af43d9.jpg</v>
      </c>
      <c r="H47" s="8" t="str">
        <f t="shared" si="0"/>
        <v>https://schnell-s3-image.s3.ap-south-1.amazonaws.com/luminator/81963c50-8e2b-11f0-a4c3-99a6d3af43d9.jpg</v>
      </c>
      <c r="I47" s="6" t="s">
        <v>209</v>
      </c>
      <c r="J47" s="6">
        <v>10</v>
      </c>
      <c r="K47" s="3" t="s">
        <v>71</v>
      </c>
      <c r="L47" s="8" t="s">
        <v>375</v>
      </c>
      <c r="M47" s="8" t="str">
        <f t="shared" si="1"/>
        <v>https://schnell-s3-image.s3.ap-south-1.amazonaws.com/luminator/d51f5cd0-8664-11f1-8555-d1c0a68a66e0.jpg</v>
      </c>
      <c r="N47" s="6" t="s">
        <v>400</v>
      </c>
      <c r="O47" s="6" t="s">
        <v>162</v>
      </c>
      <c r="P47" s="7">
        <v>13.021654099999999</v>
      </c>
      <c r="Q47" s="7">
        <v>77.638922399999998</v>
      </c>
      <c r="R47" s="4" t="s">
        <v>124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17</v>
      </c>
      <c r="Y47" s="1">
        <v>1</v>
      </c>
      <c r="Z47" s="1">
        <v>0</v>
      </c>
      <c r="AA47" s="1"/>
    </row>
    <row r="48" spans="1:27" x14ac:dyDescent="0.3">
      <c r="A48" s="6">
        <v>46</v>
      </c>
      <c r="B48" s="6" t="s">
        <v>164</v>
      </c>
      <c r="C48" s="6"/>
      <c r="D48" s="6" t="s">
        <v>164</v>
      </c>
      <c r="E48" s="6" t="s">
        <v>255</v>
      </c>
      <c r="F48" s="2"/>
      <c r="G48" s="8" t="str">
        <f>VLOOKUP(K48,[1]Sheet1!$B:$F,5,0)</f>
        <v>https://schnell-s3-image.s3.ap-south-1.amazonaws.com/luminator/1d7fffb0-8aef-11f0-b4f9-0b246e74e6cd.jpg</v>
      </c>
      <c r="H48" s="8" t="str">
        <f t="shared" si="0"/>
        <v>https://schnell-s3-image.s3.ap-south-1.amazonaws.com/luminator/1d7fffb0-8aef-11f0-b4f9-0b246e74e6cd.jpg</v>
      </c>
      <c r="I48" s="6" t="s">
        <v>210</v>
      </c>
      <c r="J48" s="6">
        <v>8</v>
      </c>
      <c r="K48" s="3" t="s">
        <v>72</v>
      </c>
      <c r="L48" s="8" t="s">
        <v>376</v>
      </c>
      <c r="M48" s="8" t="str">
        <f t="shared" si="1"/>
        <v>https://schnell-s3-image.s3.ap-south-1.amazonaws.com/luminator/7db7b590-8660-11f1-8555-d1c0a68a66e0.jpg</v>
      </c>
      <c r="N48" s="6" t="s">
        <v>400</v>
      </c>
      <c r="O48" s="6" t="s">
        <v>162</v>
      </c>
      <c r="P48" s="7">
        <v>13.023471900000001</v>
      </c>
      <c r="Q48" s="7">
        <v>77.6397166</v>
      </c>
      <c r="R48" s="4" t="s">
        <v>125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13</v>
      </c>
      <c r="Y48" s="1">
        <v>2</v>
      </c>
      <c r="Z48" s="1">
        <v>0</v>
      </c>
      <c r="AA48" s="1"/>
    </row>
    <row r="49" spans="1:27" x14ac:dyDescent="0.3">
      <c r="A49" s="6">
        <v>47</v>
      </c>
      <c r="B49" s="6">
        <v>47</v>
      </c>
      <c r="C49" s="6"/>
      <c r="D49" s="6" t="s">
        <v>313</v>
      </c>
      <c r="E49" s="6" t="s">
        <v>256</v>
      </c>
      <c r="F49" s="2"/>
      <c r="G49" s="8" t="str">
        <f>VLOOKUP(K49,[1]Sheet1!$B:$F,5,0)</f>
        <v>https://schnell-s3-image.s3.ap-south-1.amazonaws.com/luminator/66ccb8f0-897f-11f0-927b-d16b74ddd9bc.jpg</v>
      </c>
      <c r="H49" s="8" t="str">
        <f t="shared" si="0"/>
        <v>https://schnell-s3-image.s3.ap-south-1.amazonaws.com/luminator/66ccb8f0-897f-11f0-927b-d16b74ddd9bc.jpg</v>
      </c>
      <c r="I49" s="6" t="s">
        <v>211</v>
      </c>
      <c r="J49" s="6">
        <v>10</v>
      </c>
      <c r="K49" s="3" t="s">
        <v>73</v>
      </c>
      <c r="L49" s="8" t="s">
        <v>377</v>
      </c>
      <c r="M49" s="8" t="str">
        <f t="shared" si="1"/>
        <v>https://schnell-s3-image.s3.ap-south-1.amazonaws.com/luminator/1e1d2810-867c-11f1-a942-d712ba454639.jpg</v>
      </c>
      <c r="N49" s="6" t="s">
        <v>400</v>
      </c>
      <c r="O49" s="6" t="s">
        <v>162</v>
      </c>
      <c r="P49" s="7">
        <v>13.0250301</v>
      </c>
      <c r="Q49" s="7">
        <v>77.634907100000007</v>
      </c>
      <c r="R49" s="4" t="s">
        <v>126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8</v>
      </c>
      <c r="Y49" s="1">
        <v>0</v>
      </c>
      <c r="Z49" s="1">
        <v>0</v>
      </c>
      <c r="AA49" s="1"/>
    </row>
    <row r="50" spans="1:27" x14ac:dyDescent="0.3">
      <c r="A50" s="6">
        <v>48</v>
      </c>
      <c r="B50" s="6">
        <v>47</v>
      </c>
      <c r="C50" s="6"/>
      <c r="D50" s="6" t="s">
        <v>314</v>
      </c>
      <c r="E50" s="6" t="s">
        <v>257</v>
      </c>
      <c r="F50" s="2"/>
      <c r="G50" s="8" t="str">
        <f>VLOOKUP(K50,[1]Sheet1!$B:$F,5,0)</f>
        <v>https://schnell-s3-image.s3.ap-south-1.amazonaws.com/luminator/e3719cc0-8a17-11f0-be6e-3500eeb65494.jpg</v>
      </c>
      <c r="H50" s="8" t="str">
        <f t="shared" si="0"/>
        <v>https://schnell-s3-image.s3.ap-south-1.amazonaws.com/luminator/e3719cc0-8a17-11f0-be6e-3500eeb65494.jpg</v>
      </c>
      <c r="I50" s="6" t="s">
        <v>212</v>
      </c>
      <c r="J50" s="6">
        <v>4</v>
      </c>
      <c r="K50" s="3" t="s">
        <v>74</v>
      </c>
      <c r="L50" s="8" t="s">
        <v>378</v>
      </c>
      <c r="M50" s="8" t="str">
        <f t="shared" si="1"/>
        <v>https://schnell-s3-image.s3.ap-south-1.amazonaws.com/luminator/a75fbb30-8684-11f1-b739-c9593fb3fe11.jpg</v>
      </c>
      <c r="N50" s="6" t="s">
        <v>400</v>
      </c>
      <c r="O50" s="6" t="s">
        <v>162</v>
      </c>
      <c r="P50" s="7">
        <v>13.0244198</v>
      </c>
      <c r="Q50" s="7">
        <v>77.632976200000002</v>
      </c>
      <c r="R50" s="4" t="s">
        <v>127</v>
      </c>
      <c r="S50" s="1">
        <v>0</v>
      </c>
      <c r="T50" s="1">
        <v>0</v>
      </c>
      <c r="U50" s="1">
        <v>1</v>
      </c>
      <c r="V50" s="1">
        <v>0</v>
      </c>
      <c r="W50" s="1">
        <v>0</v>
      </c>
      <c r="X50" s="1">
        <v>21</v>
      </c>
      <c r="Y50" s="1">
        <v>1</v>
      </c>
      <c r="Z50" s="1">
        <v>0</v>
      </c>
      <c r="AA50" s="1"/>
    </row>
    <row r="51" spans="1:27" x14ac:dyDescent="0.3">
      <c r="A51" s="6">
        <v>49</v>
      </c>
      <c r="B51" s="6">
        <v>25</v>
      </c>
      <c r="C51" s="6"/>
      <c r="D51" s="6" t="s">
        <v>315</v>
      </c>
      <c r="E51" s="6" t="s">
        <v>258</v>
      </c>
      <c r="F51" s="2"/>
      <c r="G51" s="8" t="str">
        <f>VLOOKUP(K51,[1]Sheet1!$B:$F,5,0)</f>
        <v>https://schnell-s3-image.s3.ap-south-1.amazonaws.com/luminator/c2767ba0-8a10-11f0-b96e-93183fb91bcf.jpg</v>
      </c>
      <c r="H51" s="8" t="str">
        <f t="shared" si="0"/>
        <v>https://schnell-s3-image.s3.ap-south-1.amazonaws.com/luminator/c2767ba0-8a10-11f0-b96e-93183fb91bcf.jpg</v>
      </c>
      <c r="I51" s="6" t="s">
        <v>213</v>
      </c>
      <c r="J51" s="6">
        <v>5</v>
      </c>
      <c r="K51" s="3" t="s">
        <v>75</v>
      </c>
      <c r="L51" s="8" t="s">
        <v>379</v>
      </c>
      <c r="M51" s="8" t="str">
        <f t="shared" si="1"/>
        <v>https://schnell-s3-image.s3.ap-south-1.amazonaws.com/luminator/600d9860-8652-11f1-91ef-c1f9ac569bf3.jpg</v>
      </c>
      <c r="N51" s="6" t="s">
        <v>400</v>
      </c>
      <c r="O51" s="6" t="s">
        <v>162</v>
      </c>
      <c r="P51" s="7">
        <v>13.0189533</v>
      </c>
      <c r="Q51" s="7">
        <v>77.636458300000001</v>
      </c>
      <c r="R51" s="4" t="s">
        <v>128</v>
      </c>
      <c r="S51" s="1">
        <v>0</v>
      </c>
      <c r="T51" s="1">
        <v>5</v>
      </c>
      <c r="U51" s="1">
        <v>0</v>
      </c>
      <c r="V51" s="1">
        <v>0</v>
      </c>
      <c r="W51" s="1">
        <v>0</v>
      </c>
      <c r="X51" s="1">
        <v>10</v>
      </c>
      <c r="Y51" s="1">
        <v>5</v>
      </c>
      <c r="Z51" s="1">
        <v>0</v>
      </c>
      <c r="AA51" s="1"/>
    </row>
    <row r="52" spans="1:27" x14ac:dyDescent="0.3">
      <c r="A52" s="6">
        <v>50</v>
      </c>
      <c r="B52" s="6">
        <v>28</v>
      </c>
      <c r="C52" s="6"/>
      <c r="D52" s="6" t="s">
        <v>316</v>
      </c>
      <c r="E52" s="6">
        <v>41928198</v>
      </c>
      <c r="F52" s="2"/>
      <c r="G52" s="8" t="str">
        <f>VLOOKUP(K52,[1]Sheet1!$B:$F,5,0)</f>
        <v>https://schnell-s3-image.s3.ap-south-1.amazonaws.com/luminator/16de20f0-8a23-11f0-8887-cd0db0e8079e.jpg</v>
      </c>
      <c r="H52" s="8" t="str">
        <f t="shared" si="0"/>
        <v>https://schnell-s3-image.s3.ap-south-1.amazonaws.com/luminator/16de20f0-8a23-11f0-8887-cd0db0e8079e.jpg</v>
      </c>
      <c r="I52" s="6" t="s">
        <v>214</v>
      </c>
      <c r="J52" s="6">
        <v>6</v>
      </c>
      <c r="K52" s="3" t="s">
        <v>76</v>
      </c>
      <c r="L52" s="8" t="s">
        <v>380</v>
      </c>
      <c r="M52" s="8" t="str">
        <f t="shared" si="1"/>
        <v>https://schnell-s3-image.s3.ap-south-1.amazonaws.com/luminator/19411620-8669-11f1-b9fb-0141b4d09375.jpg</v>
      </c>
      <c r="N52" s="6" t="s">
        <v>400</v>
      </c>
      <c r="O52" s="6" t="s">
        <v>162</v>
      </c>
      <c r="P52" s="7">
        <v>13.025975000000001</v>
      </c>
      <c r="Q52" s="7">
        <v>77.635051700000005</v>
      </c>
      <c r="R52" s="4" t="s">
        <v>129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14</v>
      </c>
      <c r="Y52" s="1">
        <v>6</v>
      </c>
      <c r="Z52" s="1">
        <v>0</v>
      </c>
      <c r="AA52" s="1"/>
    </row>
    <row r="53" spans="1:27" x14ac:dyDescent="0.3">
      <c r="A53" s="6">
        <v>51</v>
      </c>
      <c r="B53" s="6" t="s">
        <v>164</v>
      </c>
      <c r="C53" s="6"/>
      <c r="D53" s="6" t="s">
        <v>317</v>
      </c>
      <c r="E53" s="6" t="s">
        <v>259</v>
      </c>
      <c r="F53" s="2"/>
      <c r="G53" s="8" t="str">
        <f>VLOOKUP(K53,[1]Sheet1!$B:$F,5,0)</f>
        <v>https://schnell-s3-image.s3.ap-south-1.amazonaws.com/luminator/f85eccc0-8bb1-11f0-be2c-fd1087b4afc4.jpg</v>
      </c>
      <c r="H53" s="8" t="str">
        <f t="shared" si="0"/>
        <v>https://schnell-s3-image.s3.ap-south-1.amazonaws.com/luminator/f85eccc0-8bb1-11f0-be2c-fd1087b4afc4.jpg</v>
      </c>
      <c r="I53" s="6" t="s">
        <v>215</v>
      </c>
      <c r="J53" s="6">
        <v>9</v>
      </c>
      <c r="K53" s="3" t="s">
        <v>77</v>
      </c>
      <c r="L53" s="8" t="s">
        <v>381</v>
      </c>
      <c r="M53" s="8" t="str">
        <f t="shared" si="1"/>
        <v>https://schnell-s3-image.s3.ap-south-1.amazonaws.com/luminator/699924a0-8691-11f1-9546-23094cea3287.jpg</v>
      </c>
      <c r="N53" s="6" t="s">
        <v>400</v>
      </c>
      <c r="O53" s="6" t="s">
        <v>162</v>
      </c>
      <c r="P53" s="7">
        <v>13.024523</v>
      </c>
      <c r="Q53" s="7">
        <v>77.630244899999994</v>
      </c>
      <c r="R53" s="4" t="s">
        <v>130</v>
      </c>
      <c r="S53" s="1">
        <v>0</v>
      </c>
      <c r="T53" s="1">
        <v>13</v>
      </c>
      <c r="U53" s="1">
        <v>0</v>
      </c>
      <c r="V53" s="1">
        <v>0</v>
      </c>
      <c r="W53" s="1">
        <v>0</v>
      </c>
      <c r="X53" s="1">
        <v>5</v>
      </c>
      <c r="Y53" s="1">
        <v>12</v>
      </c>
      <c r="Z53" s="1">
        <v>0</v>
      </c>
      <c r="AA53" s="1"/>
    </row>
    <row r="54" spans="1:27" x14ac:dyDescent="0.3">
      <c r="A54" s="6">
        <v>52</v>
      </c>
      <c r="B54" s="6">
        <v>25</v>
      </c>
      <c r="C54" s="6"/>
      <c r="D54" s="6" t="s">
        <v>318</v>
      </c>
      <c r="E54" s="6">
        <v>41926793</v>
      </c>
      <c r="F54" s="2"/>
      <c r="G54" s="8" t="str">
        <f>VLOOKUP(K54,[1]Sheet1!$B:$F,5,0)</f>
        <v>https://schnell-s3-image.s3.ap-south-1.amazonaws.com/luminator/b4dc8b50-898a-11f0-b56c-17574073311e.jpg</v>
      </c>
      <c r="H54" s="8" t="str">
        <f t="shared" si="0"/>
        <v>https://schnell-s3-image.s3.ap-south-1.amazonaws.com/luminator/b4dc8b50-898a-11f0-b56c-17574073311e.jpg</v>
      </c>
      <c r="I54" s="6" t="s">
        <v>216</v>
      </c>
      <c r="J54" s="6">
        <v>6</v>
      </c>
      <c r="K54" s="3" t="s">
        <v>78</v>
      </c>
      <c r="L54" s="8" t="s">
        <v>382</v>
      </c>
      <c r="M54" s="8" t="str">
        <f t="shared" si="1"/>
        <v>https://schnell-s3-image.s3.ap-south-1.amazonaws.com/luminator/358424e0-8659-11f1-ba94-6d8535c77dd6.jpg</v>
      </c>
      <c r="N54" s="6" t="s">
        <v>400</v>
      </c>
      <c r="O54" s="6" t="s">
        <v>163</v>
      </c>
      <c r="P54" s="7">
        <v>13.0191806</v>
      </c>
      <c r="Q54" s="7">
        <v>77.636413599999997</v>
      </c>
      <c r="R54" s="4" t="s">
        <v>131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15</v>
      </c>
      <c r="Y54" s="1">
        <v>1</v>
      </c>
      <c r="Z54" s="1">
        <v>0</v>
      </c>
      <c r="AA54" s="1"/>
    </row>
    <row r="55" spans="1:27" x14ac:dyDescent="0.3">
      <c r="A55" s="6">
        <v>53</v>
      </c>
      <c r="B55" s="6">
        <v>44</v>
      </c>
      <c r="C55" s="6"/>
      <c r="D55" s="6" t="s">
        <v>319</v>
      </c>
      <c r="E55" s="6">
        <v>41927214</v>
      </c>
      <c r="F55" s="2"/>
      <c r="G55" s="8" t="str">
        <f>VLOOKUP(K55,[1]Sheet1!$B:$F,5,0)</f>
        <v>https://schnell-s3-image.s3.ap-south-1.amazonaws.com/luminator/ade8c330-8896-11f0-89bc-f3fed757d0e9.jpg</v>
      </c>
      <c r="H55" s="8" t="str">
        <f t="shared" si="0"/>
        <v>https://schnell-s3-image.s3.ap-south-1.amazonaws.com/luminator/ade8c330-8896-11f0-89bc-f3fed757d0e9.jpg</v>
      </c>
      <c r="I55" s="6" t="s">
        <v>217</v>
      </c>
      <c r="J55" s="6">
        <v>5</v>
      </c>
      <c r="K55" s="3" t="s">
        <v>79</v>
      </c>
      <c r="L55" s="8" t="s">
        <v>383</v>
      </c>
      <c r="M55" s="8" t="str">
        <f t="shared" si="1"/>
        <v>https://schnell-s3-image.s3.ap-south-1.amazonaws.com/luminator/dab30ee0-868b-11f1-b5d9-a792d64a6c8d.jpg</v>
      </c>
      <c r="N55" s="6" t="s">
        <v>400</v>
      </c>
      <c r="O55" s="6" t="s">
        <v>162</v>
      </c>
      <c r="P55" s="7">
        <v>13.023956999999999</v>
      </c>
      <c r="Q55" s="7">
        <v>77.629649200000003</v>
      </c>
      <c r="R55" s="4" t="s">
        <v>132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12</v>
      </c>
      <c r="Y55" s="1">
        <v>0</v>
      </c>
      <c r="Z55" s="1">
        <v>0</v>
      </c>
      <c r="AA55" s="1"/>
    </row>
    <row r="56" spans="1:27" x14ac:dyDescent="0.3">
      <c r="A56" s="6">
        <v>54</v>
      </c>
      <c r="B56" s="6">
        <v>28</v>
      </c>
      <c r="C56" s="6"/>
      <c r="D56" s="6" t="s">
        <v>320</v>
      </c>
      <c r="E56" s="6">
        <v>41933284</v>
      </c>
      <c r="F56" s="2"/>
      <c r="G56" s="8" t="str">
        <f>VLOOKUP(K56,[1]Sheet1!$B:$F,5,0)</f>
        <v>https://schnell-s3-image.s3.ap-south-1.amazonaws.com/luminator/d4329670-7219-11f1-97a4-17fcb201abfa.jpg</v>
      </c>
      <c r="H56" s="8" t="str">
        <f t="shared" si="0"/>
        <v>https://schnell-s3-image.s3.ap-south-1.amazonaws.com/luminator/d4329670-7219-11f1-97a4-17fcb201abfa.jpg</v>
      </c>
      <c r="I56" s="6" t="s">
        <v>218</v>
      </c>
      <c r="J56" s="6">
        <v>5</v>
      </c>
      <c r="K56" s="3" t="s">
        <v>80</v>
      </c>
      <c r="L56" s="8" t="s">
        <v>384</v>
      </c>
      <c r="M56" s="8" t="str">
        <f t="shared" si="1"/>
        <v>https://schnell-s3-image.s3.ap-south-1.amazonaws.com/luminator/2a7f9b50-8669-11f1-b9fb-0141b4d09375.jpg</v>
      </c>
      <c r="N56" s="6" t="s">
        <v>400</v>
      </c>
      <c r="O56" s="6" t="s">
        <v>162</v>
      </c>
      <c r="P56" s="7">
        <v>13.026004</v>
      </c>
      <c r="Q56" s="7">
        <v>77.635045199999993</v>
      </c>
      <c r="R56" s="4" t="s">
        <v>129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16</v>
      </c>
      <c r="Y56" s="1">
        <v>0</v>
      </c>
      <c r="Z56" s="1">
        <v>0</v>
      </c>
      <c r="AA56" s="1"/>
    </row>
    <row r="57" spans="1:27" x14ac:dyDescent="0.3">
      <c r="A57" s="6">
        <v>55</v>
      </c>
      <c r="B57" s="6" t="s">
        <v>164</v>
      </c>
      <c r="C57" s="6"/>
      <c r="D57" s="6" t="s">
        <v>321</v>
      </c>
      <c r="E57" s="6" t="s">
        <v>260</v>
      </c>
      <c r="F57" s="2"/>
      <c r="G57" s="8" t="str">
        <f>VLOOKUP(K57,[1]Sheet1!$B:$F,5,0)</f>
        <v>https://schnell-s3-image.s3.ap-south-1.amazonaws.com/luminator/5b33fe20-8bde-11f0-97b4-3fe5976fed08.jpg</v>
      </c>
      <c r="H57" s="8" t="str">
        <f t="shared" si="0"/>
        <v>https://schnell-s3-image.s3.ap-south-1.amazonaws.com/luminator/5b33fe20-8bde-11f0-97b4-3fe5976fed08.jpg</v>
      </c>
      <c r="I57" s="6" t="s">
        <v>219</v>
      </c>
      <c r="J57" s="6">
        <v>135</v>
      </c>
      <c r="K57" s="3" t="s">
        <v>81</v>
      </c>
      <c r="L57" s="8" t="s">
        <v>385</v>
      </c>
      <c r="M57" s="8" t="str">
        <f t="shared" si="1"/>
        <v>https://schnell-s3-image.s3.ap-south-1.amazonaws.com/luminator/9ac39c30-8809-11f1-8aed-2930d9eba84d.jpg</v>
      </c>
      <c r="N57" s="6" t="s">
        <v>400</v>
      </c>
      <c r="O57" s="6" t="s">
        <v>162</v>
      </c>
      <c r="P57" s="7">
        <v>13.017789799999999</v>
      </c>
      <c r="Q57" s="7">
        <v>77.6281362</v>
      </c>
      <c r="R57" s="4" t="s">
        <v>133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11</v>
      </c>
      <c r="Y57" s="1">
        <v>4</v>
      </c>
      <c r="Z57" s="1">
        <v>2</v>
      </c>
      <c r="AA57" s="1"/>
    </row>
    <row r="58" spans="1:27" x14ac:dyDescent="0.3">
      <c r="A58" s="6">
        <v>56</v>
      </c>
      <c r="B58" s="6" t="s">
        <v>164</v>
      </c>
      <c r="C58" s="6"/>
      <c r="D58" s="6" t="s">
        <v>322</v>
      </c>
      <c r="E58" s="6" t="s">
        <v>261</v>
      </c>
      <c r="F58" s="2"/>
      <c r="G58" s="8" t="str">
        <f>VLOOKUP(K58,[1]Sheet1!$B:$F,5,0)</f>
        <v>https://schnell-s3-image.s3.ap-south-1.amazonaws.com/luminator/e7907cd0-abe2-11f0-afee-8711a4ef8f2f.jpg</v>
      </c>
      <c r="H58" s="8" t="str">
        <f t="shared" si="0"/>
        <v>https://schnell-s3-image.s3.ap-south-1.amazonaws.com/luminator/e7907cd0-abe2-11f0-afee-8711a4ef8f2f.jpg</v>
      </c>
      <c r="I58" s="6" t="s">
        <v>220</v>
      </c>
      <c r="J58" s="6">
        <v>10</v>
      </c>
      <c r="K58" s="3" t="s">
        <v>82</v>
      </c>
      <c r="L58" s="8" t="s">
        <v>386</v>
      </c>
      <c r="M58" s="8" t="str">
        <f t="shared" si="1"/>
        <v>https://schnell-s3-image.s3.ap-south-1.amazonaws.com/luminator/18577a80-880b-11f1-8aed-2930d9eba84d.jpg</v>
      </c>
      <c r="N58" s="6" t="s">
        <v>400</v>
      </c>
      <c r="O58" s="6" t="s">
        <v>162</v>
      </c>
      <c r="P58" s="7">
        <v>13.020197</v>
      </c>
      <c r="Q58" s="7">
        <v>77.6295346</v>
      </c>
      <c r="R58" s="4" t="s">
        <v>134</v>
      </c>
      <c r="S58" s="1">
        <v>0</v>
      </c>
      <c r="T58" s="1">
        <v>10</v>
      </c>
      <c r="U58" s="1">
        <v>2</v>
      </c>
      <c r="V58" s="1">
        <v>0</v>
      </c>
      <c r="W58" s="1">
        <v>0</v>
      </c>
      <c r="X58" s="1">
        <v>18</v>
      </c>
      <c r="Y58" s="1">
        <v>7</v>
      </c>
      <c r="Z58" s="1">
        <v>1</v>
      </c>
      <c r="AA58" s="1"/>
    </row>
    <row r="59" spans="1:27" x14ac:dyDescent="0.3">
      <c r="A59" s="6">
        <v>57</v>
      </c>
      <c r="B59" s="6" t="s">
        <v>164</v>
      </c>
      <c r="C59" s="6"/>
      <c r="D59" s="6" t="s">
        <v>323</v>
      </c>
      <c r="E59" s="6">
        <v>469170</v>
      </c>
      <c r="F59" s="2"/>
      <c r="G59" s="8" t="str">
        <f>VLOOKUP(K59,[1]Sheet1!$B:$F,5,0)</f>
        <v>https://schnell-s3-image.s3.ap-south-1.amazonaws.com/luminator/b50c78e0-8c93-11f0-942c-49c4ce61d7fe.jpg</v>
      </c>
      <c r="H59" s="8" t="str">
        <f t="shared" si="0"/>
        <v>https://schnell-s3-image.s3.ap-south-1.amazonaws.com/luminator/b50c78e0-8c93-11f0-942c-49c4ce61d7fe.jpg</v>
      </c>
      <c r="I59" s="6" t="s">
        <v>221</v>
      </c>
      <c r="J59" s="6">
        <v>22</v>
      </c>
      <c r="K59" s="3" t="s">
        <v>83</v>
      </c>
      <c r="L59" s="8" t="s">
        <v>387</v>
      </c>
      <c r="M59" s="8" t="str">
        <f t="shared" si="1"/>
        <v>https://schnell-s3-image.s3.ap-south-1.amazonaws.com/luminator/9947f580-8805-11f1-8aed-2930d9eba84d.jpg</v>
      </c>
      <c r="N59" s="6" t="s">
        <v>400</v>
      </c>
      <c r="O59" s="6" t="s">
        <v>162</v>
      </c>
      <c r="P59" s="7">
        <v>13.0163078</v>
      </c>
      <c r="Q59" s="7">
        <v>77.628789499999996</v>
      </c>
      <c r="R59" s="4" t="s">
        <v>135</v>
      </c>
      <c r="S59" s="1">
        <v>0</v>
      </c>
      <c r="T59" s="1">
        <v>1</v>
      </c>
      <c r="U59" s="1">
        <v>0</v>
      </c>
      <c r="V59" s="1">
        <v>0</v>
      </c>
      <c r="W59" s="1">
        <v>0</v>
      </c>
      <c r="X59" s="1">
        <v>9</v>
      </c>
      <c r="Y59" s="1">
        <v>5</v>
      </c>
      <c r="Z59" s="1">
        <v>0</v>
      </c>
      <c r="AA59" s="1"/>
    </row>
    <row r="60" spans="1:27" x14ac:dyDescent="0.3">
      <c r="A60" s="6">
        <v>58</v>
      </c>
      <c r="B60" s="6">
        <v>55</v>
      </c>
      <c r="C60" s="6"/>
      <c r="D60" s="6" t="s">
        <v>324</v>
      </c>
      <c r="E60" s="6">
        <v>50109106</v>
      </c>
      <c r="F60" s="2"/>
      <c r="G60" s="8" t="str">
        <f>VLOOKUP(K60,[1]Sheet1!$B:$F,5,0)</f>
        <v>https://schnell-s3-image.s3.ap-south-1.amazonaws.com/luminator/8d741e60-abf5-11f0-8a06-593b99ef8829.jpg</v>
      </c>
      <c r="H60" s="8" t="str">
        <f t="shared" si="0"/>
        <v>https://schnell-s3-image.s3.ap-south-1.amazonaws.com/luminator/8d741e60-abf5-11f0-8a06-593b99ef8829.jpg</v>
      </c>
      <c r="I60" s="6" t="s">
        <v>222</v>
      </c>
      <c r="J60" s="6">
        <v>29</v>
      </c>
      <c r="K60" s="3" t="s">
        <v>84</v>
      </c>
      <c r="L60" s="8" t="s">
        <v>388</v>
      </c>
      <c r="M60" s="8" t="str">
        <f t="shared" si="1"/>
        <v>https://schnell-s3-image.s3.ap-south-1.amazonaws.com/luminator/537aff60-8810-11f1-8aed-2930d9eba84d.jpg</v>
      </c>
      <c r="N60" s="6" t="s">
        <v>400</v>
      </c>
      <c r="O60" s="6" t="s">
        <v>162</v>
      </c>
      <c r="P60" s="7">
        <v>13.018907</v>
      </c>
      <c r="Q60" s="7">
        <v>77.630005199999999</v>
      </c>
      <c r="R60" s="4" t="s">
        <v>136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6</v>
      </c>
      <c r="Y60" s="1">
        <v>0</v>
      </c>
      <c r="Z60" s="1">
        <v>0</v>
      </c>
      <c r="AA60" s="1"/>
    </row>
    <row r="61" spans="1:27" x14ac:dyDescent="0.3">
      <c r="A61" s="6">
        <v>59</v>
      </c>
      <c r="B61" s="6">
        <v>79</v>
      </c>
      <c r="C61" s="6"/>
      <c r="D61" s="6" t="s">
        <v>164</v>
      </c>
      <c r="E61" s="6" t="s">
        <v>262</v>
      </c>
      <c r="F61" s="2"/>
      <c r="G61" s="8" t="str">
        <f>VLOOKUP(K61,[1]Sheet1!$B:$F,5,0)</f>
        <v>https://schnell-s3-image.s3.ap-south-1.amazonaws.com/luminator/ebdc84f0-ac0f-11f0-b8b0-f1ac76572e6b.jpg</v>
      </c>
      <c r="H61" s="8" t="str">
        <f t="shared" si="0"/>
        <v>https://schnell-s3-image.s3.ap-south-1.amazonaws.com/luminator/ebdc84f0-ac0f-11f0-b8b0-f1ac76572e6b.jpg</v>
      </c>
      <c r="I61" s="6" t="s">
        <v>223</v>
      </c>
      <c r="J61" s="6">
        <v>37</v>
      </c>
      <c r="K61" s="3" t="s">
        <v>85</v>
      </c>
      <c r="L61" s="8" t="s">
        <v>389</v>
      </c>
      <c r="M61" s="8" t="str">
        <f t="shared" si="1"/>
        <v>https://schnell-s3-image.s3.ap-south-1.amazonaws.com/luminator/131865f0-8af6-11f1-b4ee-45972b4f76e5.jpg</v>
      </c>
      <c r="N61" s="6" t="s">
        <v>400</v>
      </c>
      <c r="O61" s="6" t="s">
        <v>162</v>
      </c>
      <c r="P61" s="7">
        <v>13.0129067</v>
      </c>
      <c r="Q61" s="7">
        <v>77.629726700000006</v>
      </c>
      <c r="R61" s="4" t="s">
        <v>137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4</v>
      </c>
      <c r="Y61" s="1">
        <v>5</v>
      </c>
      <c r="Z61" s="1">
        <v>0</v>
      </c>
      <c r="AA61" s="1"/>
    </row>
    <row r="62" spans="1:27" x14ac:dyDescent="0.3">
      <c r="A62" s="6">
        <v>60</v>
      </c>
      <c r="B62" s="6">
        <v>87</v>
      </c>
      <c r="C62" s="6"/>
      <c r="D62" s="6" t="s">
        <v>325</v>
      </c>
      <c r="E62" s="6">
        <v>50887233</v>
      </c>
      <c r="F62" s="2"/>
      <c r="G62" s="8" t="str">
        <f>VLOOKUP(K62,[1]Sheet1!$B:$F,5,0)</f>
        <v>https://schnell-s3-image.s3.ap-south-1.amazonaws.com/luminator/b3fb78f0-86ff-11f0-ae48-85037efca68c.jpg</v>
      </c>
      <c r="H62" s="8" t="str">
        <f t="shared" si="0"/>
        <v>https://schnell-s3-image.s3.ap-south-1.amazonaws.com/luminator/b3fb78f0-86ff-11f0-ae48-85037efca68c.jpg</v>
      </c>
      <c r="I62" s="6" t="s">
        <v>224</v>
      </c>
      <c r="J62" s="6">
        <v>2</v>
      </c>
      <c r="K62" s="3" t="s">
        <v>86</v>
      </c>
      <c r="L62" s="8" t="s">
        <v>390</v>
      </c>
      <c r="M62" s="8" t="str">
        <f t="shared" si="1"/>
        <v>https://schnell-s3-image.s3.ap-south-1.amazonaws.com/luminator/ce3096c0-9463-11f1-b7ae-317db99fc7d1.jpg</v>
      </c>
      <c r="N62" s="6" t="s">
        <v>400</v>
      </c>
      <c r="O62" s="6" t="s">
        <v>162</v>
      </c>
      <c r="P62" s="7">
        <v>13.0145429</v>
      </c>
      <c r="Q62" s="7">
        <v>77.635699200000005</v>
      </c>
      <c r="R62" s="4" t="s">
        <v>138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4</v>
      </c>
      <c r="Y62" s="1">
        <v>0</v>
      </c>
      <c r="Z62" s="1">
        <v>0</v>
      </c>
      <c r="AA62" s="1"/>
    </row>
    <row r="63" spans="1:27" x14ac:dyDescent="0.3">
      <c r="A63" s="6">
        <v>61</v>
      </c>
      <c r="B63" s="6" t="s">
        <v>164</v>
      </c>
      <c r="C63" s="6"/>
      <c r="D63" s="6">
        <v>19067</v>
      </c>
      <c r="E63" s="6">
        <v>531239</v>
      </c>
      <c r="F63" s="2"/>
      <c r="G63" s="8" t="str">
        <f>VLOOKUP(K63,[1]Sheet1!$B:$F,5,0)</f>
        <v>https://schnell-s3-image.s3.ap-south-1.amazonaws.com/luminator/d4329670-7219-11f1-97a4-17fcb201abfa.jpg</v>
      </c>
      <c r="H63" s="8" t="str">
        <f t="shared" si="0"/>
        <v>https://schnell-s3-image.s3.ap-south-1.amazonaws.com/luminator/d4329670-7219-11f1-97a4-17fcb201abfa.jpg</v>
      </c>
      <c r="I63" s="6" t="s">
        <v>225</v>
      </c>
      <c r="J63" s="6">
        <v>11</v>
      </c>
      <c r="K63" s="3" t="s">
        <v>87</v>
      </c>
      <c r="L63" s="8" t="s">
        <v>391</v>
      </c>
      <c r="M63" s="8" t="str">
        <f t="shared" si="1"/>
        <v>https://schnell-s3-image.s3.ap-south-1.amazonaws.com/luminator/bd67a410-93d1-11f1-a0e6-d53527e9a29a.jpg</v>
      </c>
      <c r="N63" s="6" t="s">
        <v>400</v>
      </c>
      <c r="O63" s="6" t="s">
        <v>162</v>
      </c>
      <c r="P63" s="7">
        <v>13.014555</v>
      </c>
      <c r="Q63" s="7">
        <v>77.627151699999999</v>
      </c>
      <c r="R63" s="4" t="s">
        <v>139</v>
      </c>
      <c r="S63" s="1">
        <v>0</v>
      </c>
      <c r="T63" s="1">
        <v>0</v>
      </c>
      <c r="U63" s="1">
        <v>0</v>
      </c>
      <c r="V63" s="1">
        <v>0</v>
      </c>
      <c r="W63" s="1">
        <v>5</v>
      </c>
      <c r="X63" s="1">
        <v>0</v>
      </c>
      <c r="Y63" s="1">
        <v>0</v>
      </c>
      <c r="Z63" s="1">
        <v>0</v>
      </c>
      <c r="AA63" s="1"/>
    </row>
    <row r="64" spans="1:27" x14ac:dyDescent="0.3">
      <c r="A64" s="6">
        <v>62</v>
      </c>
      <c r="B64" s="6">
        <v>83</v>
      </c>
      <c r="C64" s="6"/>
      <c r="D64" s="6" t="s">
        <v>326</v>
      </c>
      <c r="E64" s="6" t="s">
        <v>263</v>
      </c>
      <c r="F64" s="2"/>
      <c r="G64" s="8" t="str">
        <f>VLOOKUP(K64,[1]Sheet1!$B:$F,5,0)</f>
        <v>https://schnell-s3-image.s3.ap-south-1.amazonaws.com/luminator/0aa1ebb0-8978-11f0-b7c0-2f7da7a2ce06.jpg</v>
      </c>
      <c r="H64" s="8" t="str">
        <f t="shared" si="0"/>
        <v>https://schnell-s3-image.s3.ap-south-1.amazonaws.com/luminator/0aa1ebb0-8978-11f0-b7c0-2f7da7a2ce06.jpg</v>
      </c>
      <c r="I64" s="6" t="s">
        <v>226</v>
      </c>
      <c r="J64" s="6">
        <v>11</v>
      </c>
      <c r="K64" s="3" t="s">
        <v>88</v>
      </c>
      <c r="L64" s="8" t="s">
        <v>392</v>
      </c>
      <c r="M64" s="8" t="str">
        <f t="shared" si="1"/>
        <v>https://schnell-s3-image.s3.ap-south-1.amazonaws.com/luminator/572400d0-945e-11f1-b7ae-317db99fc7d1.jpg</v>
      </c>
      <c r="N64" s="6" t="s">
        <v>400</v>
      </c>
      <c r="O64" s="6" t="s">
        <v>162</v>
      </c>
      <c r="P64" s="7">
        <v>13.0127512</v>
      </c>
      <c r="Q64" s="7">
        <v>77.628526800000003</v>
      </c>
      <c r="R64" s="4" t="s">
        <v>140</v>
      </c>
      <c r="S64" s="1">
        <v>0</v>
      </c>
      <c r="T64" s="1">
        <v>0</v>
      </c>
      <c r="U64" s="1">
        <v>0</v>
      </c>
      <c r="V64" s="1">
        <v>0</v>
      </c>
      <c r="W64" s="1">
        <v>5</v>
      </c>
      <c r="X64" s="1">
        <v>0</v>
      </c>
      <c r="Y64" s="1">
        <v>2</v>
      </c>
      <c r="Z64" s="1">
        <v>0</v>
      </c>
      <c r="AA64" s="1"/>
    </row>
    <row r="65" spans="1:27" x14ac:dyDescent="0.3">
      <c r="A65" s="6">
        <v>63</v>
      </c>
      <c r="B65" s="6" t="s">
        <v>164</v>
      </c>
      <c r="C65" s="6"/>
      <c r="D65" s="6" t="s">
        <v>164</v>
      </c>
      <c r="E65" s="6" t="s">
        <v>264</v>
      </c>
      <c r="F65" s="2"/>
      <c r="G65" s="8" t="str">
        <f>VLOOKUP(K65,[1]Sheet1!$B:$F,5,0)</f>
        <v>https://schnell-s3-image.s3.ap-south-1.amazonaws.com/luminator/f85eccc0-8bb1-11f0-be2c-fd1087b4afc4.jpg</v>
      </c>
      <c r="H65" s="8" t="str">
        <f t="shared" si="0"/>
        <v>https://schnell-s3-image.s3.ap-south-1.amazonaws.com/luminator/f85eccc0-8bb1-11f0-be2c-fd1087b4afc4.jpg</v>
      </c>
      <c r="I65" s="6" t="s">
        <v>227</v>
      </c>
      <c r="J65" s="6">
        <v>2</v>
      </c>
      <c r="K65" s="3" t="s">
        <v>89</v>
      </c>
      <c r="L65" s="8" t="s">
        <v>393</v>
      </c>
      <c r="M65" s="8" t="str">
        <f t="shared" si="1"/>
        <v>https://schnell-s3-image.s3.ap-south-1.amazonaws.com/luminator/a4367ce0-9468-11f1-b7ae-317db99fc7d1.jpg</v>
      </c>
      <c r="N65" s="6" t="s">
        <v>400</v>
      </c>
      <c r="O65" s="6" t="s">
        <v>162</v>
      </c>
      <c r="P65" s="7">
        <v>13.0140405</v>
      </c>
      <c r="Q65" s="7">
        <v>77.642371299999994</v>
      </c>
      <c r="R65" s="4" t="s">
        <v>141</v>
      </c>
      <c r="S65" s="1">
        <v>0</v>
      </c>
      <c r="T65" s="1">
        <v>0</v>
      </c>
      <c r="U65" s="1">
        <v>0</v>
      </c>
      <c r="V65" s="1">
        <v>0</v>
      </c>
      <c r="W65" s="1">
        <v>5</v>
      </c>
      <c r="X65" s="1">
        <v>0</v>
      </c>
      <c r="Y65" s="1">
        <v>0</v>
      </c>
      <c r="Z65" s="1">
        <v>0</v>
      </c>
      <c r="AA65" s="1"/>
    </row>
    <row r="66" spans="1:27" x14ac:dyDescent="0.3">
      <c r="A66" s="6">
        <v>64</v>
      </c>
      <c r="B66" s="6" t="s">
        <v>164</v>
      </c>
      <c r="C66" s="6"/>
      <c r="D66" s="6" t="s">
        <v>327</v>
      </c>
      <c r="E66" s="6" t="s">
        <v>265</v>
      </c>
      <c r="F66" s="2"/>
      <c r="G66" s="8" t="str">
        <f>VLOOKUP(K66,[1]Sheet1!$B:$F,5,0)</f>
        <v>https://schnell-s3-image.s3.ap-south-1.amazonaws.com/luminator/27a52f70-8bd4-11f0-b72f-b92dad359ae8.jpg</v>
      </c>
      <c r="H66" s="8" t="str">
        <f t="shared" si="0"/>
        <v>https://schnell-s3-image.s3.ap-south-1.amazonaws.com/luminator/27a52f70-8bd4-11f0-b72f-b92dad359ae8.jpg</v>
      </c>
      <c r="I66" s="6" t="s">
        <v>228</v>
      </c>
      <c r="J66" s="6">
        <v>11</v>
      </c>
      <c r="K66" s="3" t="s">
        <v>90</v>
      </c>
      <c r="L66" s="8" t="s">
        <v>394</v>
      </c>
      <c r="M66" s="8" t="str">
        <f t="shared" si="1"/>
        <v>https://schnell-s3-image.s3.ap-south-1.amazonaws.com/luminator/fee81a10-93df-11f1-8a90-3d4fc70db1a8.jpg</v>
      </c>
      <c r="N66" s="6" t="s">
        <v>400</v>
      </c>
      <c r="O66" s="6" t="s">
        <v>162</v>
      </c>
      <c r="P66" s="7">
        <v>13.0176493</v>
      </c>
      <c r="Q66" s="7">
        <v>77.628181299999994</v>
      </c>
      <c r="R66" s="4" t="s">
        <v>133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4</v>
      </c>
      <c r="Y66" s="1">
        <v>3</v>
      </c>
      <c r="Z66" s="1">
        <v>45</v>
      </c>
      <c r="AA66" s="1"/>
    </row>
    <row r="67" spans="1:27" x14ac:dyDescent="0.3">
      <c r="A67" s="6">
        <v>65</v>
      </c>
      <c r="B67" s="6">
        <v>174</v>
      </c>
      <c r="C67" s="6"/>
      <c r="D67" s="6" t="s">
        <v>164</v>
      </c>
      <c r="E67" s="6" t="s">
        <v>266</v>
      </c>
      <c r="F67" s="2"/>
      <c r="G67" s="8" t="str">
        <f>VLOOKUP(K67,[1]Sheet1!$B:$F,5,0)</f>
        <v>https://schnell-s3-image.s3.ap-south-1.amazonaws.com/luminator/81963c50-8e2b-11f0-a4c3-99a6d3af43d9.jpg</v>
      </c>
      <c r="H67" s="8" t="str">
        <f t="shared" si="0"/>
        <v>https://schnell-s3-image.s3.ap-south-1.amazonaws.com/luminator/81963c50-8e2b-11f0-a4c3-99a6d3af43d9.jpg</v>
      </c>
      <c r="I67" s="6" t="s">
        <v>229</v>
      </c>
      <c r="J67" s="6">
        <v>20</v>
      </c>
      <c r="K67" s="3" t="s">
        <v>91</v>
      </c>
      <c r="L67" s="8" t="s">
        <v>395</v>
      </c>
      <c r="M67" s="8" t="str">
        <f t="shared" si="1"/>
        <v>https://schnell-s3-image.s3.ap-south-1.amazonaws.com/luminator/3062aca0-9317-11f1-8bc7-cde1c79c8f3b.jpg</v>
      </c>
      <c r="N67" s="6" t="s">
        <v>400</v>
      </c>
      <c r="O67" s="6" t="s">
        <v>163</v>
      </c>
      <c r="P67" s="7">
        <v>13.0219418</v>
      </c>
      <c r="Q67" s="7">
        <v>77.639595600000007</v>
      </c>
      <c r="R67" s="4" t="s">
        <v>142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28</v>
      </c>
      <c r="Y67" s="1">
        <v>1</v>
      </c>
      <c r="Z67" s="1">
        <v>0</v>
      </c>
      <c r="AA67" s="1"/>
    </row>
    <row r="68" spans="1:27" x14ac:dyDescent="0.3">
      <c r="A68" s="6">
        <v>66</v>
      </c>
      <c r="B68" s="6" t="s">
        <v>164</v>
      </c>
      <c r="C68" s="6"/>
      <c r="D68" s="6" t="s">
        <v>328</v>
      </c>
      <c r="E68" s="6" t="s">
        <v>267</v>
      </c>
      <c r="F68" s="2"/>
      <c r="G68" s="8" t="str">
        <f>VLOOKUP(K68,[1]Sheet1!$B:$F,5,0)</f>
        <v>https://schnell-s3-image.s3.ap-south-1.amazonaws.com/luminator/81963c50-8e2b-11f0-a4c3-99a6d3af43d9.jpg</v>
      </c>
      <c r="H68" s="8" t="str">
        <f t="shared" ref="H68:H71" si="2">HYPERLINK(G68)</f>
        <v>https://schnell-s3-image.s3.ap-south-1.amazonaws.com/luminator/81963c50-8e2b-11f0-a4c3-99a6d3af43d9.jpg</v>
      </c>
      <c r="I68" s="6" t="s">
        <v>230</v>
      </c>
      <c r="J68" s="6">
        <v>6</v>
      </c>
      <c r="K68" s="3" t="s">
        <v>92</v>
      </c>
      <c r="L68" s="8" t="s">
        <v>396</v>
      </c>
      <c r="M68" s="8" t="str">
        <f t="shared" ref="M68:M71" si="3">HYPERLINK(L68)</f>
        <v>https://schnell-s3-image.s3.ap-south-1.amazonaws.com/luminator/05e7e550-9301-11f1-b9ca-0d4bccdb6c33.jpg</v>
      </c>
      <c r="N68" s="6" t="s">
        <v>400</v>
      </c>
      <c r="O68" s="6" t="s">
        <v>163</v>
      </c>
      <c r="P68" s="7">
        <v>13.0171017</v>
      </c>
      <c r="Q68" s="7">
        <v>77.632945000000007</v>
      </c>
      <c r="R68" s="4" t="s">
        <v>143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5</v>
      </c>
      <c r="Y68" s="1">
        <v>0</v>
      </c>
      <c r="Z68" s="1">
        <v>47</v>
      </c>
      <c r="AA68" s="1"/>
    </row>
    <row r="69" spans="1:27" x14ac:dyDescent="0.3">
      <c r="A69" s="6">
        <v>67</v>
      </c>
      <c r="B69" s="6" t="s">
        <v>164</v>
      </c>
      <c r="C69" s="6"/>
      <c r="D69" s="6" t="s">
        <v>164</v>
      </c>
      <c r="E69" s="6">
        <v>2924499</v>
      </c>
      <c r="F69" s="2"/>
      <c r="G69" s="8" t="str">
        <f>VLOOKUP(K69,[1]Sheet1!$B:$F,5,0)</f>
        <v>https://schnell-s3-image.s3.ap-south-1.amazonaws.com/luminator/18682f50-8e34-11f0-a4c3-99a6d3af43d9.jpg</v>
      </c>
      <c r="H69" s="8" t="str">
        <f t="shared" si="2"/>
        <v>https://schnell-s3-image.s3.ap-south-1.amazonaws.com/luminator/18682f50-8e34-11f0-a4c3-99a6d3af43d9.jpg</v>
      </c>
      <c r="I69" s="6" t="s">
        <v>231</v>
      </c>
      <c r="J69" s="6">
        <v>11</v>
      </c>
      <c r="K69" s="3" t="s">
        <v>93</v>
      </c>
      <c r="L69" s="8" t="s">
        <v>397</v>
      </c>
      <c r="M69" s="8" t="str">
        <f t="shared" si="3"/>
        <v>https://schnell-s3-image.s3.ap-south-1.amazonaws.com/luminator/b03ea5f0-93b7-11f1-a75d-2f6b66700e34.jpg</v>
      </c>
      <c r="N69" s="6" t="s">
        <v>400</v>
      </c>
      <c r="O69" s="6" t="s">
        <v>162</v>
      </c>
      <c r="P69" s="7">
        <v>13.019251300000001</v>
      </c>
      <c r="Q69" s="7">
        <v>77.6369428</v>
      </c>
      <c r="R69" s="4" t="s">
        <v>144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3</v>
      </c>
      <c r="Y69" s="1">
        <v>0</v>
      </c>
      <c r="Z69" s="1">
        <v>0</v>
      </c>
      <c r="AA69" s="1"/>
    </row>
    <row r="70" spans="1:27" x14ac:dyDescent="0.3">
      <c r="A70" s="6">
        <v>68</v>
      </c>
      <c r="B70" s="6" t="s">
        <v>164</v>
      </c>
      <c r="C70" s="6"/>
      <c r="D70" s="6" t="s">
        <v>329</v>
      </c>
      <c r="E70" s="6" t="s">
        <v>268</v>
      </c>
      <c r="F70" s="2"/>
      <c r="G70" s="8" t="str">
        <f>VLOOKUP(K70,[1]Sheet1!$B:$F,5,0)</f>
        <v>https://schnell-s3-image.s3.ap-south-1.amazonaws.com/luminator/0b611290-87ef-11f0-8589-df07194f6f8d.jpg</v>
      </c>
      <c r="H70" s="8" t="str">
        <f t="shared" si="2"/>
        <v>https://schnell-s3-image.s3.ap-south-1.amazonaws.com/luminator/0b611290-87ef-11f0-8589-df07194f6f8d.jpg</v>
      </c>
      <c r="I70" s="6" t="s">
        <v>232</v>
      </c>
      <c r="J70" s="6">
        <v>11</v>
      </c>
      <c r="K70" s="3" t="s">
        <v>94</v>
      </c>
      <c r="L70" s="8" t="s">
        <v>398</v>
      </c>
      <c r="M70" s="8" t="str">
        <f t="shared" si="3"/>
        <v>https://schnell-s3-image.s3.ap-south-1.amazonaws.com/luminator/8611b920-92f4-11f1-b619-a9144f22648b.jpg</v>
      </c>
      <c r="N70" s="6" t="s">
        <v>400</v>
      </c>
      <c r="O70" s="6" t="s">
        <v>163</v>
      </c>
      <c r="P70" s="7">
        <v>13.0155545</v>
      </c>
      <c r="Q70" s="7">
        <v>77.633355300000005</v>
      </c>
      <c r="R70" s="4" t="s">
        <v>145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7</v>
      </c>
      <c r="Y70" s="1">
        <v>0</v>
      </c>
      <c r="Z70" s="1">
        <v>16</v>
      </c>
      <c r="AA70" s="1"/>
    </row>
    <row r="71" spans="1:27" x14ac:dyDescent="0.3">
      <c r="A71" s="6">
        <v>69</v>
      </c>
      <c r="B71" s="6" t="s">
        <v>164</v>
      </c>
      <c r="C71" s="6"/>
      <c r="D71" s="6" t="s">
        <v>330</v>
      </c>
      <c r="E71" s="6" t="s">
        <v>269</v>
      </c>
      <c r="F71" s="2"/>
      <c r="G71" s="8" t="str">
        <f>VLOOKUP(K71,[1]Sheet1!$B:$F,5,0)</f>
        <v>https://schnell-s3-image.s3.ap-south-1.amazonaws.com/luminator/b50c78e0-8c93-11f0-942c-49c4ce61d7fe.jpg</v>
      </c>
      <c r="H71" s="8" t="str">
        <f t="shared" si="2"/>
        <v>https://schnell-s3-image.s3.ap-south-1.amazonaws.com/luminator/b50c78e0-8c93-11f0-942c-49c4ce61d7fe.jpg</v>
      </c>
      <c r="I71" s="6" t="s">
        <v>233</v>
      </c>
      <c r="J71" s="6">
        <v>4</v>
      </c>
      <c r="K71" s="3" t="s">
        <v>95</v>
      </c>
      <c r="L71" s="8" t="s">
        <v>399</v>
      </c>
      <c r="M71" s="8" t="str">
        <f t="shared" si="3"/>
        <v>https://schnell-s3-image.s3.ap-south-1.amazonaws.com/luminator/ac7f2210-9c6c-11f1-8a35-5f7bd65df4dd.jpg</v>
      </c>
      <c r="N71" s="6" t="s">
        <v>400</v>
      </c>
      <c r="O71" s="6" t="s">
        <v>162</v>
      </c>
      <c r="P71" s="7">
        <v>13.015025100000001</v>
      </c>
      <c r="Q71" s="7">
        <v>77.628779300000005</v>
      </c>
      <c r="R71" s="4" t="s">
        <v>146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4</v>
      </c>
      <c r="Y71" s="1">
        <v>9</v>
      </c>
      <c r="Z71" s="1">
        <v>0</v>
      </c>
      <c r="AA71" s="1"/>
    </row>
  </sheetData>
  <autoFilter ref="A2:AE71" xr:uid="{6D3BE5FD-76AA-4B29-B27C-2EBE5F26E147}"/>
  <mergeCells count="2">
    <mergeCell ref="A1:G1"/>
    <mergeCell ref="I1:AA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schlap0036@hotmail.com</dc:creator>
  <cp:lastModifiedBy>schlap0092@hotmail.com</cp:lastModifiedBy>
  <dcterms:created xsi:type="dcterms:W3CDTF">2026-09-11T05:14:43Z</dcterms:created>
  <dcterms:modified xsi:type="dcterms:W3CDTF">2026-10-07T08:22:04Z</dcterms:modified>
</cp:coreProperties>
</file>